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75dbd62efb4d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4b266c963084c8a"/>
    <x:sheet xmlns:r="http://schemas.openxmlformats.org/officeDocument/2006/relationships" name="Assumptions" sheetId="2" r:id="R58a4ac2a27074fab"/>
    <x:sheet xmlns:r="http://schemas.openxmlformats.org/officeDocument/2006/relationships" name="Crops" sheetId="3" r:id="R238b2773a52d464d"/>
    <x:sheet xmlns:r="http://schemas.openxmlformats.org/officeDocument/2006/relationships" name="Recipes" sheetId="4" r:id="R183a5af3729d4936"/>
    <x:sheet xmlns:r="http://schemas.openxmlformats.org/officeDocument/2006/relationships" name="Furniture" sheetId="5" r:id="R17e730d3862e443b"/>
    <x:sheet xmlns:r="http://schemas.openxmlformats.org/officeDocument/2006/relationships" name="Affection Messages" sheetId="6" r:id="R66dfdc407d8c4371"/>
    <x:sheet xmlns:r="http://schemas.openxmlformats.org/officeDocument/2006/relationships" name="Unlock Pace" sheetId="7" r:id="Rede0ea88cc0a414c"/>
    <x:sheet xmlns:r="http://schemas.openxmlformats.org/officeDocument/2006/relationships" name="Sources" sheetId="8" r:id="R7e5179d92e3446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.0"/>
    <x:numFmt numFmtId="202" formatCode="0.00"/>
  </x:numFmts>
  <x:fonts count="7">
    <x:font>
      <x:sz val="11"/>
      <x:name val="Carlito"/>
    </x:font>
    <x:font>
      <x:b/>
      <x:sz val="18"/>
      <x:color rgb="FFF4E2AE"/>
      <x:name val="Carlito"/>
    </x:font>
    <x:font>
      <x:i/>
      <x:sz val="10"/>
      <x:color rgb="FFFFFFFF"/>
      <x:name val="Carlito"/>
    </x:font>
    <x:font>
      <x:b/>
      <x:sz val="11"/>
      <x:color rgb="FFFFFFFF"/>
      <x:name val="Carlito"/>
    </x:font>
    <x:font>
      <x:sz val="11"/>
      <x:color rgb="FF251B2B"/>
      <x:name val="Carlito"/>
    </x:font>
    <x:font>
      <x:b/>
      <x:sz val="10"/>
      <x:color rgb="FFF4E2AE"/>
      <x:name val="Yu Gothic UI"/>
    </x:font>
    <x:font>
      <x:b/>
      <x:sz val="9"/>
      <x:color rgb="FFF4E2AE"/>
      <x:name val="Yu Gothic UI"/>
    </x:font>
  </x:fonts>
  <x:fills count="10">
    <x:fill>
      <x:patternFill patternType="none"/>
    </x:fill>
    <x:fill>
      <x:patternFill patternType="gray125"/>
    </x:fill>
    <x:fill>
      <x:patternFill patternType="solid">
        <x:fgColor rgb="FF251B2B"/>
      </x:patternFill>
    </x:fill>
    <x:fill>
      <x:patternFill patternType="solid">
        <x:fgColor rgb="FF3B2948"/>
      </x:patternFill>
    </x:fill>
    <x:fill>
      <x:patternFill patternType="solid">
        <x:fgColor rgb="FFFFF9EA"/>
      </x:patternFill>
    </x:fill>
    <x:fill>
      <x:patternFill patternType="solid">
        <x:fgColor rgb="FFDCEFFC"/>
      </x:patternFill>
    </x:fill>
    <x:fill>
      <x:patternFill patternType="solid">
        <x:fgColor rgb="FFE8E5EA"/>
      </x:patternFill>
    </x:fill>
    <x:fill>
      <x:patternFill patternType="solid">
        <x:fgColor rgb="FFDDEED7"/>
      </x:patternFill>
    </x:fill>
    <x:fill>
      <x:patternFill patternType="solid">
        <x:fgColor rgb="FFF4E2AE"/>
      </x:patternFill>
    </x:fill>
    <x:fill>
      <x:patternFill patternType="solid">
        <x:fgColor rgb="FFF4D5D0"/>
      </x:patternFill>
    </x:fill>
  </x:fills>
  <x:borders count="7">
    <x:border/>
    <x:border>
      <x:left style="medium">
        <x:color rgb="FF251B2B"/>
      </x:left>
      <x:top style="medium">
        <x:color rgb="FF251B2B"/>
      </x:top>
      <x:bottom style="medium">
        <x:color rgb="FF251B2B"/>
      </x:bottom>
    </x:border>
    <x:border>
      <x:top style="medium">
        <x:color rgb="FF251B2B"/>
      </x:top>
      <x:bottom style="medium">
        <x:color rgb="FF251B2B"/>
      </x:bottom>
    </x:border>
    <x:border>
      <x:right style="medium">
        <x:color rgb="FF251B2B"/>
      </x:right>
      <x:top style="medium">
        <x:color rgb="FF251B2B"/>
      </x:top>
      <x:bottom style="medium">
        <x:color rgb="FF251B2B"/>
      </x:bottom>
    </x:border>
    <x:border>
      <x:bottom style="thin">
        <x:color rgb="FFDDD6C8"/>
      </x:bottom>
    </x:border>
    <x:border>
      <x:top style="thin">
        <x:color rgb="FFDDD6C8"/>
      </x:top>
      <x:bottom style="thin">
        <x:color rgb="FFDDD6C8"/>
      </x:bottom>
    </x:border>
    <x:border>
      <x:top style="thin">
        <x:color rgb="FFDDD6C8"/>
      </x:top>
      <x:bottom style="thin">
        <x:color rgb="FFC9BFAE"/>
      </x:bottom>
    </x:border>
  </x:borders>
  <x:cellStyleXfs count="1">
    <x:xf numFmtId="0" fontId="0" fillId="0" borderId="0"/>
  </x:cellStyleXfs>
  <x:cellXfs count="1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4" xfId="0" applyNumberFormat="1" applyFont="1" applyFill="1" applyBorder="1" applyAlignment="1">
      <x:alignment vertical="center"/>
    </x:xf>
    <x:xf numFmtId="0" fontId="4" fillId="4" borderId="5" xfId="0" applyNumberFormat="1" applyFont="1" applyFill="1" applyBorder="1" applyAlignment="1">
      <x:alignment vertical="center"/>
    </x:xf>
    <x:xf numFmtId="0" fontId="4" fillId="4" borderId="6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200" fontId="4" fillId="5" borderId="4" xfId="0" applyNumberFormat="1" applyFont="1" applyFill="1" applyBorder="1" applyAlignment="1">
      <x:alignment vertical="center"/>
    </x:xf>
    <x:xf numFmtId="200" fontId="4" fillId="5" borderId="5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left" vertical="center"/>
    </x:xf>
    <x:xf numFmtId="0" fontId="4" fillId="6" borderId="4" xfId="0" applyNumberFormat="1" applyFont="1" applyFill="1" applyBorder="1" applyAlignment="1">
      <x:alignment vertical="center"/>
    </x:xf>
    <x:xf numFmtId="0" fontId="4" fillId="6" borderId="5" xfId="0" applyNumberFormat="1" applyFont="1" applyFill="1" applyBorder="1" applyAlignment="1">
      <x:alignment vertical="center"/>
    </x:xf>
    <x:xf numFmtId="0" fontId="4" fillId="6" borderId="6" xfId="0" applyNumberFormat="1" applyFont="1" applyFill="1" applyBorder="1" applyAlignment="1">
      <x:alignment vertical="center"/>
    </x:xf>
    <x:xf numFmtId="0" fontId="4" fillId="7" borderId="4" xfId="0" applyNumberFormat="1" applyFont="1" applyFill="1" applyBorder="1" applyAlignment="1">
      <x:alignment vertical="center"/>
    </x:xf>
    <x:xf numFmtId="0" fontId="4" fillId="7" borderId="5" xfId="0" applyNumberFormat="1" applyFont="1" applyFill="1" applyBorder="1" applyAlignment="1">
      <x:alignment vertical="center"/>
    </x:xf>
    <x:xf numFmtId="0" fontId="4" fillId="7" borderId="6" xfId="0" applyNumberFormat="1" applyFont="1" applyFill="1" applyBorder="1" applyAlignment="1">
      <x:alignment vertical="center"/>
    </x:xf>
    <x:xf numFmtId="200" fontId="4" fillId="6" borderId="4" xfId="0" applyNumberFormat="1" applyFont="1" applyFill="1" applyBorder="1" applyAlignment="1">
      <x:alignment vertical="center"/>
    </x:xf>
    <x:xf numFmtId="200" fontId="4" fillId="6" borderId="5" xfId="0" applyNumberFormat="1" applyFont="1" applyFill="1" applyBorder="1" applyAlignment="1">
      <x:alignment vertical="center"/>
    </x:xf>
    <x:xf numFmtId="200" fontId="4" fillId="6" borderId="6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left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4" fillId="7" borderId="4" xfId="0" applyNumberFormat="1" applyFont="1" applyFill="1" applyBorder="1" applyAlignment="1">
      <x:alignment vertical="center"/>
    </x:xf>
    <x:xf numFmtId="201" fontId="4" fillId="7" borderId="5" xfId="0" applyNumberFormat="1" applyFont="1" applyFill="1" applyBorder="1" applyAlignment="1">
      <x:alignment vertical="center"/>
    </x:xf>
    <x:xf numFmtId="201" fontId="4" fillId="7" borderId="6" xfId="0" applyNumberFormat="1" applyFont="1" applyFill="1" applyBorder="1" applyAlignment="1">
      <x:alignment vertical="center"/>
    </x:xf>
    <x:xf numFmtId="202" fontId="4" fillId="7" borderId="4" xfId="0" applyNumberFormat="1" applyFont="1" applyFill="1" applyBorder="1" applyAlignment="1">
      <x:alignment vertical="center"/>
    </x:xf>
    <x:xf numFmtId="202" fontId="4" fillId="7" borderId="5" xfId="0" applyNumberFormat="1" applyFont="1" applyFill="1" applyBorder="1" applyAlignment="1">
      <x:alignment vertical="center"/>
    </x:xf>
    <x:xf numFmtId="202" fontId="4" fillId="7" borderId="6" xfId="0" applyNumberFormat="1" applyFont="1" applyFill="1" applyBorder="1" applyAlignment="1">
      <x:alignment vertical="center"/>
    </x:xf>
    <x:xf numFmtId="201" fontId="4" fillId="5" borderId="4" xfId="0" applyNumberFormat="1" applyFont="1" applyFill="1" applyBorder="1" applyAlignment="1">
      <x:alignment vertical="center"/>
    </x:xf>
    <x:xf numFmtId="201" fontId="4" fillId="5" borderId="5" xfId="0" applyNumberFormat="1" applyFont="1" applyFill="1" applyBorder="1" applyAlignment="1">
      <x:alignment vertical="center"/>
    </x:xf>
    <x:xf numFmtId="201" fontId="4" fillId="5" borderId="6" xfId="0" applyNumberFormat="1" applyFont="1" applyFill="1" applyBorder="1" applyAlignment="1">
      <x:alignment vertical="center"/>
    </x:xf>
    <x:xf numFmtId="0" fontId="4" fillId="8" borderId="4" xfId="0" applyNumberFormat="1" applyFont="1" applyFill="1" applyBorder="1" applyAlignment="1">
      <x:alignment vertical="center"/>
    </x:xf>
    <x:xf numFmtId="0" fontId="4" fillId="8" borderId="5" xfId="0" applyNumberFormat="1" applyFont="1" applyFill="1" applyBorder="1" applyAlignment="1">
      <x:alignment vertical="center"/>
    </x:xf>
    <x:xf numFmtId="0" fontId="4" fillId="8" borderId="6" xfId="0" applyNumberFormat="1" applyFont="1" applyFill="1" applyBorder="1" applyAlignment="1">
      <x:alignment vertical="center"/>
    </x:xf>
    <x:xf numFmtId="202" fontId="4" fillId="8" borderId="6" xfId="0" applyNumberFormat="1" applyFont="1" applyFill="1" applyBorder="1" applyAlignment="1">
      <x:alignment vertical="center"/>
    </x:xf>
    <x:xf numFmtId="0" fontId="4" fillId="9" borderId="4" xfId="0" applyNumberFormat="1" applyFont="1" applyFill="1" applyBorder="1" applyAlignment="1">
      <x:alignment vertical="center"/>
    </x:xf>
    <x:xf numFmtId="0" fontId="4" fillId="9" borderId="5" xfId="0" applyNumberFormat="1" applyFont="1" applyFill="1" applyBorder="1" applyAlignment="1">
      <x:alignment vertical="center"/>
    </x:xf>
    <x:xf numFmtId="0" fontId="4" fillId="9" borderId="6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7" borderId="4" xfId="0" applyNumberFormat="1" applyFont="1" applyFill="1" applyBorder="1" applyAlignment="1">
      <x:alignment vertical="center" wrapText="1"/>
    </x:xf>
    <x:xf numFmtId="0" fontId="4" fillId="8" borderId="4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4" fillId="7" borderId="5" xfId="0" applyNumberFormat="1" applyFont="1" applyFill="1" applyBorder="1" applyAlignment="1">
      <x:alignment vertical="center" wrapText="1"/>
    </x:xf>
    <x:xf numFmtId="0" fontId="4" fillId="8" borderId="5" xfId="0" applyNumberFormat="1" applyFont="1" applyFill="1" applyBorder="1" applyAlignment="1">
      <x:alignment vertical="center" wrapText="1"/>
    </x:xf>
    <x:xf numFmtId="0" fontId="4" fillId="4" borderId="6" xfId="0" applyNumberFormat="1" applyFont="1" applyFill="1" applyBorder="1" applyAlignment="1">
      <x:alignment vertical="center" wrapText="1"/>
    </x:xf>
    <x:xf numFmtId="202" fontId="4" fillId="7" borderId="6" xfId="0" applyNumberFormat="1" applyFont="1" applyFill="1" applyBorder="1" applyAlignment="1">
      <x:alignment vertical="center" wrapText="1"/>
    </x:xf>
    <x:xf numFmtId="202" fontId="4" fillId="8" borderId="6" xfId="0" applyNumberFormat="1" applyFont="1" applyFill="1" applyBorder="1" applyAlignment="1">
      <x:alignment vertical="center" wrapText="1"/>
    </x:xf>
    <x:xf numFmtId="0" fontId="4" fillId="9" borderId="4" xfId="0" applyNumberFormat="1" applyFont="1" applyFill="1" applyBorder="1" applyAlignment="1">
      <x:alignment vertical="center" wrapText="1"/>
    </x:xf>
    <x:xf numFmtId="0" fontId="4" fillId="9" borderId="5" xfId="0" applyNumberFormat="1" applyFont="1" applyFill="1" applyBorder="1" applyAlignment="1">
      <x:alignment vertical="center" wrapText="1"/>
    </x:xf>
    <x:xf numFmtId="0" fontId="4" fillId="9" borderId="6" xfId="0" applyNumberFormat="1" applyFont="1" applyFill="1" applyBorder="1" applyAlignment="1">
      <x:alignment vertical="center" wrapText="1"/>
    </x:xf>
    <x:xf numFmtId="20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20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left" vertical="center" wrapText="1"/>
    </x:xf>
    <x:xf numFmtId="0" fontId="4" fillId="6" borderId="4" xfId="0" applyNumberFormat="1" applyFont="1" applyFill="1" applyBorder="1" applyAlignment="1">
      <x:alignment vertical="center" wrapText="1"/>
    </x:xf>
    <x:xf numFmtId="200" fontId="4" fillId="6" borderId="4" xfId="0" applyNumberFormat="1" applyFont="1" applyFill="1" applyBorder="1" applyAlignment="1">
      <x:alignment vertical="center" wrapText="1"/>
    </x:xf>
    <x:xf numFmtId="0" fontId="4" fillId="6" borderId="5" xfId="0" applyNumberFormat="1" applyFont="1" applyFill="1" applyBorder="1" applyAlignment="1">
      <x:alignment vertical="center" wrapText="1"/>
    </x:xf>
    <x:xf numFmtId="200" fontId="4" fillId="6" borderId="5" xfId="0" applyNumberFormat="1" applyFont="1" applyFill="1" applyBorder="1" applyAlignment="1">
      <x:alignment vertical="center" wrapText="1"/>
    </x:xf>
    <x:xf numFmtId="0" fontId="4" fillId="6" borderId="6" xfId="0" applyNumberFormat="1" applyFont="1" applyFill="1" applyBorder="1" applyAlignment="1">
      <x:alignment vertical="center" wrapText="1"/>
    </x:xf>
    <x:xf numFmtId="200" fontId="4" fillId="6" borderId="6" xfId="0" applyNumberFormat="1" applyFont="1" applyFill="1" applyBorder="1" applyAlignment="1">
      <x:alignment vertical="center" wrapText="1"/>
    </x:xf>
    <x:xf numFmtId="0" fontId="4" fillId="7" borderId="6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4" fillId="7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4" fillId="7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4" fillId="7" borderId="6" xfId="0" applyNumberFormat="1" applyFont="1" applyFill="1" applyBorder="1" applyAlignment="1">
      <x:alignment vertical="center" wrapText="1"/>
    </x:xf>
    <x:xf numFmtId="202" fontId="4" fillId="7" borderId="4" xfId="0" applyNumberFormat="1" applyFont="1" applyFill="1" applyBorder="1" applyAlignment="1">
      <x:alignment vertical="center" wrapText="1"/>
    </x:xf>
    <x:xf numFmtId="201" fontId="4" fillId="5" borderId="4" xfId="0" applyNumberFormat="1" applyFont="1" applyFill="1" applyBorder="1" applyAlignment="1">
      <x:alignment vertical="center" wrapText="1"/>
    </x:xf>
    <x:xf numFmtId="202" fontId="4" fillId="7" borderId="5" xfId="0" applyNumberFormat="1" applyFont="1" applyFill="1" applyBorder="1" applyAlignment="1">
      <x:alignment vertical="center" wrapText="1"/>
    </x:xf>
    <x:xf numFmtId="201" fontId="4" fillId="5" borderId="5" xfId="0" applyNumberFormat="1" applyFont="1" applyFill="1" applyBorder="1" applyAlignment="1">
      <x:alignment vertical="center" wrapText="1"/>
    </x:xf>
    <x:xf numFmtId="201" fontId="4" fillId="5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9cf4647df74906" /><Relationship Type="http://schemas.openxmlformats.org/officeDocument/2006/relationships/theme" Target="/xl/theme/theme1.xml" Id="Rb2e7cd88ed76474c" /><Relationship Type="http://schemas.microsoft.com/office/2022/11/relationships/FeaturePropertyBag" Target="/xl/featurePropertyBag/featurePropertyBag.xml" Id="Ra2394299b15e49b9" /><Relationship Type="http://schemas.openxmlformats.org/officeDocument/2006/relationships/sharedStrings" Target="/xl/sharedStrings.xml" Id="R2dc54b469b944a56" /><Relationship Type="http://schemas.openxmlformats.org/officeDocument/2006/relationships/worksheet" Target="/xl/worksheets/sheet1.xml" Id="R74b266c963084c8a" /><Relationship Type="http://schemas.openxmlformats.org/officeDocument/2006/relationships/worksheet" Target="/xl/worksheets/sheet2.xml" Id="R58a4ac2a27074fab" /><Relationship Type="http://schemas.openxmlformats.org/officeDocument/2006/relationships/worksheet" Target="/xl/worksheets/sheet3.xml" Id="R238b2773a52d464d" /><Relationship Type="http://schemas.openxmlformats.org/officeDocument/2006/relationships/worksheet" Target="/xl/worksheets/sheet4.xml" Id="R183a5af3729d4936" /><Relationship Type="http://schemas.openxmlformats.org/officeDocument/2006/relationships/worksheet" Target="/xl/worksheets/sheet5.xml" Id="R17e730d3862e443b" /><Relationship Type="http://schemas.openxmlformats.org/officeDocument/2006/relationships/worksheet" Target="/xl/worksheets/sheet6.xml" Id="R66dfdc407d8c4371" /><Relationship Type="http://schemas.openxmlformats.org/officeDocument/2006/relationships/worksheet" Target="/xl/worksheets/sheet7.xml" Id="Rede0ea88cc0a414c" /><Relationship Type="http://schemas.openxmlformats.org/officeDocument/2006/relationships/worksheet" Target="/xl/worksheets/sheet8.xml" Id="R7e5179d92e3446e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273d8709c6c468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Content Coverage: Current vs V1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Current</c:v>
          </c:tx>
          <c:cat>
            <c:strRef>
              <c:f>'Dashboard'!$F$5:$F$7</c:f>
              <c:strCache>
                <c:ptCount val="0"/>
              </c:strCache>
            </c:strRef>
          </c:cat>
          <c:val>
            <c:numRef>
              <c:f>'Dashboard'!$G$5:$G$7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V1 Target</c:v>
          </c:tx>
          <c:cat>
            <c:strRef>
              <c:f>'Dashboard'!$F$5:$F$7</c:f>
              <c:strCache>
                <c:ptCount val="0"/>
              </c:strCache>
            </c:strRef>
          </c:cat>
          <c:val>
            <c:numRef>
              <c:f>'Dashboard'!$H$5:$H$7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8</xdr:row>
      <xdr:rowOff>0</xdr:rowOff>
    </xdr:from>
    <xdr:to>
      <xdr:col>13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73d8709c6c4680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23d27e36cfd45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3" hidden="0" customWidth="1"/>
    <x:col min="3" max="3" width="24" hidden="0" customWidth="1"/>
    <x:col min="4" max="4" width="46" hidden="0" customWidth="1"/>
    <x:col min="5" max="5" width="3" hidden="0" customWidth="1"/>
    <x:col min="6" max="6" width="24" hidden="0" customWidth="1"/>
    <x:col min="7" max="7" width="14" hidden="0" customWidth="1"/>
    <x:col min="8" max="8" width="14" hidden="0" customWidth="1"/>
  </x:cols>
  <x:sheetData>
    <x:row r="1" ht="32" customHeight="1">
      <x:c r="A1" s="74" t="str">
        <x:v>Night Shrine Cafe - Commercial Readiness Balance V1</x:v>
      </x:c>
      <x:c r="B1" s="74"/>
      <x:c r="C1" s="74"/>
      <x:c r="D1" s="74"/>
      <x:c r="E1" s="74"/>
      <x:c r="F1" s="74"/>
      <x:c r="G1" s="74"/>
      <x:c r="H1" s="74"/>
    </x:row>
    <x:row r="2" ht="28" customHeight="1">
      <x:c r="A2" s="8" t="str">
        <x:v>Planning model for crop cadence, recipe economy, furniture progression, visitor affection, and content coverage. This is a design baseline, not a final live balance.</x:v>
      </x:c>
      <x:c r="B2" s="8"/>
      <x:c r="C2" s="8"/>
      <x:c r="D2" s="8"/>
      <x:c r="E2" s="8"/>
      <x:c r="F2" s="8"/>
      <x:c r="G2" s="8"/>
      <x:c r="H2" s="8"/>
    </x:row>
    <x:row r="3">
      <x:c r="A3" s="75"/>
      <x:c r="B3" s="75"/>
      <x:c r="C3" s="75"/>
      <x:c r="D3" s="75"/>
      <x:c r="E3" s="75"/>
      <x:c r="F3" s="75"/>
      <x:c r="G3" s="75"/>
      <x:c r="H3" s="75"/>
    </x:row>
    <x:row r="4" ht="30" customHeight="1">
      <x:c r="A4" s="19" t="str">
        <x:v>KPI</x:v>
      </x:c>
      <x:c r="B4" s="20" t="str">
        <x:v>Current</x:v>
      </x:c>
      <x:c r="C4" s="20" t="str">
        <x:v>V1 Target</x:v>
      </x:c>
      <x:c r="D4" s="21" t="str">
        <x:v>Gap / Change</x:v>
      </x:c>
      <x:c r="E4" s="75"/>
      <x:c r="F4" s="19" t="str">
        <x:v>Content Type</x:v>
      </x:c>
      <x:c r="G4" s="20" t="str">
        <x:v>Current</x:v>
      </x:c>
      <x:c r="H4" s="21" t="str">
        <x:v>V1 Target</x:v>
      </x:c>
    </x:row>
    <x:row r="5">
      <x:c r="A5" s="76" t="str">
        <x:v>Menu count</x:v>
      </x:c>
      <x:c r="B5" s="77" t="n">
        <x:f>COUNTIF('Recipes'!$C$5:$C$13,"Initial")</x:f>
        <x:v>3</x:v>
      </x:c>
      <x:c r="C5" s="77" t="n">
        <x:f>COUNTA('Recipes'!$A$5:$A$13)</x:f>
        <x:v>9</x:v>
      </x:c>
      <x:c r="D5" s="78" t="n">
        <x:f>C5-B5</x:f>
        <x:v>6</x:v>
      </x:c>
      <x:c r="E5" s="75"/>
      <x:c r="F5" s="76" t="str">
        <x:v>Menus</x:v>
      </x:c>
      <x:c r="G5" s="76" t="n">
        <x:f>B5</x:f>
        <x:v>3</x:v>
      </x:c>
      <x:c r="H5" s="76" t="n">
        <x:f>C5</x:f>
        <x:v>9</x:v>
      </x:c>
    </x:row>
    <x:row r="6">
      <x:c r="A6" s="79" t="str">
        <x:v>Regular guest messages</x:v>
      </x:c>
      <x:c r="B6" s="80" t="n">
        <x:f>SUM('Affection Messages'!$D$5:$D$14)</x:f>
        <x:v>20</x:v>
      </x:c>
      <x:c r="C6" s="80" t="n">
        <x:f>SUM('Affection Messages'!$H$5:$H$14)</x:f>
        <x:v>60</x:v>
      </x:c>
      <x:c r="D6" s="81" t="n">
        <x:f>C6-B6</x:f>
        <x:v>40</x:v>
      </x:c>
      <x:c r="E6" s="75"/>
      <x:c r="F6" s="79" t="str">
        <x:v>Guest Messages</x:v>
      </x:c>
      <x:c r="G6" s="79" t="n">
        <x:f>B6</x:f>
        <x:v>20</x:v>
      </x:c>
      <x:c r="H6" s="79" t="n">
        <x:f>C6</x:f>
        <x:v>60</x:v>
      </x:c>
    </x:row>
    <x:row r="7">
      <x:c r="A7" s="79" t="str">
        <x:v>Paid furniture Faith total</x:v>
      </x:c>
      <x:c r="B7" s="80" t="n">
        <x:f>SUM('Furniture'!$C$5:$C$17)</x:f>
        <x:v>63</x:v>
      </x:c>
      <x:c r="C7" s="80" t="n">
        <x:f>SUM('Furniture'!$J$5:$J$17)</x:f>
        <x:v>134</x:v>
      </x:c>
      <x:c r="D7" s="81" t="n">
        <x:f>C7-B7</x:f>
        <x:v>71</x:v>
      </x:c>
      <x:c r="E7" s="75"/>
      <x:c r="F7" s="82" t="str">
        <x:v>Relationship Milestones</x:v>
      </x:c>
      <x:c r="G7" s="82" t="n">
        <x:v>0</x:v>
      </x:c>
      <x:c r="H7" s="82" t="n">
        <x:v>30</x:v>
      </x:c>
    </x:row>
    <x:row r="8">
      <x:c r="A8" s="82" t="str">
        <x:v>Average affection per visit</x:v>
      </x:c>
      <x:c r="B8" s="83" t="n">
        <x:f>'Assumptions'!$B$10*'Assumptions'!$B$12</x:f>
        <x:v>0.3333333333333333</x:v>
      </x:c>
      <x:c r="C8" s="83" t="n">
        <x:f>'Assumptions'!$C$11+'Assumptions'!$C$10*'Assumptions'!$C$12</x:f>
        <x:v>1.3333333333333333</x:v>
      </x:c>
      <x:c r="D8" s="84" t="n">
        <x:f>C8-B8</x:f>
        <x:v>1</x:v>
      </x:c>
      <x:c r="E8" s="75"/>
      <x:c r="F8" s="75"/>
      <x:c r="G8" s="75"/>
      <x:c r="H8" s="75"/>
    </x:row>
    <x:row r="9">
      <x:c r="A9" s="75"/>
      <x:c r="B9" s="75"/>
      <x:c r="C9" s="75"/>
      <x:c r="D9" s="75"/>
      <x:c r="E9" s="75"/>
      <x:c r="F9" s="75"/>
      <x:c r="G9" s="75"/>
      <x:c r="H9" s="75"/>
    </x:row>
    <x:row r="10">
      <x:c r="A10" s="75"/>
      <x:c r="B10" s="75"/>
      <x:c r="C10" s="75"/>
      <x:c r="D10" s="75"/>
      <x:c r="E10" s="75"/>
      <x:c r="F10" s="75"/>
      <x:c r="G10" s="75"/>
      <x:c r="H10" s="75"/>
    </x:row>
    <x:row r="11" ht="30" customHeight="1">
      <x:c r="A11" s="19" t="str">
        <x:v>Priority</x:v>
      </x:c>
      <x:c r="B11" s="20" t="str">
        <x:v>Finding</x:v>
      </x:c>
      <x:c r="C11" s="20" t="str">
        <x:v>Current Risk</x:v>
      </x:c>
      <x:c r="D11" s="21" t="str">
        <x:v>V1 Decision</x:v>
      </x:c>
      <x:c r="E11" s="75"/>
      <x:c r="F11" s="75"/>
      <x:c r="G11" s="75"/>
      <x:c r="H11" s="75"/>
    </x:row>
    <x:row r="12">
      <x:c r="A12" s="85" t="n">
        <x:v>1</x:v>
      </x:c>
      <x:c r="B12" s="76" t="str">
        <x:v>Progress unit</x:v>
      </x:c>
      <x:c r="C12" s="76" t="str">
        <x:v>Crops finish in 45-90 seconds and reward waiting</x:v>
      </x:c>
      <x:c r="D12" s="76" t="str">
        <x:v>Advance crops by cafe/night loops</x:v>
      </x:c>
      <x:c r="E12" s="75"/>
      <x:c r="F12" s="75"/>
      <x:c r="G12" s="75"/>
      <x:c r="H12" s="75"/>
    </x:row>
    <x:row r="13">
      <x:c r="A13" s="86" t="n">
        <x:v>2</x:v>
      </x:c>
      <x:c r="B13" s="79" t="str">
        <x:v>Unlock ownership</x:v>
      </x:c>
      <x:c r="C13" s="79" t="str">
        <x:v>Furniture mixes altar and Faith while affection has little purpose</x:v>
      </x:c>
      <x:c r="D13" s="79" t="str">
        <x:v>Separate Faith, functional, bundle, and affection gifts</x:v>
      </x:c>
      <x:c r="E13" s="75"/>
      <x:c r="F13" s="75"/>
      <x:c r="G13" s="75"/>
      <x:c r="H13" s="75"/>
    </x:row>
    <x:row r="14">
      <x:c r="A14" s="86" t="n">
        <x:v>3</x:v>
      </x:c>
      <x:c r="B14" s="79" t="str">
        <x:v>Content repetition</x:v>
      </x:c>
      <x:c r="C14" s="79" t="str">
        <x:v>Two messages per regular visitor repeat quickly</x:v>
      </x:c>
      <x:c r="D14" s="79" t="str">
        <x:v>Six structured messages per regular visitor</x:v>
      </x:c>
      <x:c r="E14" s="75"/>
      <x:c r="F14" s="75"/>
      <x:c r="G14" s="75"/>
      <x:c r="H14" s="75"/>
    </x:row>
    <x:row r="15">
      <x:c r="A15" s="86" t="n">
        <x:v>4</x:v>
      </x:c>
      <x:c r="B15" s="79" t="str">
        <x:v>Menu depth</x:v>
      </x:c>
      <x:c r="C15" s="79" t="str">
        <x:v>Three dishes only sustain tutorial use</x:v>
      </x:c>
      <x:c r="D15" s="79" t="str">
        <x:v>3 initial, 3 expansion, 3 story recipes</x:v>
      </x:c>
      <x:c r="E15" s="75"/>
      <x:c r="F15" s="75"/>
      <x:c r="G15" s="75"/>
      <x:c r="H15" s="75"/>
    </x:row>
    <x:row r="16">
      <x:c r="A16" s="87" t="n">
        <x:v>5</x:v>
      </x:c>
      <x:c r="B16" s="82" t="str">
        <x:v>Data architecture</x:v>
      </x:c>
      <x:c r="C16" s="82" t="str">
        <x:v>Balance and content are hard-coded in C#</x:v>
      </x:c>
      <x:c r="D16" s="82" t="str">
        <x:v>Move approved V1 values into ScriptableObject assets</x:v>
      </x:c>
      <x:c r="E16" s="75"/>
      <x:c r="F16" s="75"/>
      <x:c r="G16" s="75"/>
      <x:c r="H16" s="75"/>
    </x:row>
    <x:row r="17">
      <x:c r="A17" s="75"/>
      <x:c r="B17" s="75"/>
      <x:c r="C17" s="75"/>
      <x:c r="D17" s="75"/>
      <x:c r="E17" s="75"/>
      <x:c r="F17" s="75"/>
      <x:c r="G17" s="75"/>
      <x:c r="H17" s="75"/>
    </x:row>
    <x:row r="18">
      <x:c r="A18" s="75"/>
      <x:c r="B18" s="75"/>
      <x:c r="C18" s="75"/>
      <x:c r="D18" s="75"/>
      <x:c r="E18" s="75"/>
      <x:c r="F18" s="75"/>
      <x:c r="G18" s="75"/>
      <x:c r="H18" s="75"/>
    </x:row>
    <x:row r="19" ht="30" customHeight="1">
      <x:c r="A19" s="19" t="str">
        <x:v>Release Gate</x:v>
      </x:c>
      <x:c r="B19" s="20" t="str">
        <x:v>Metric</x:v>
      </x:c>
      <x:c r="C19" s="20" t="str">
        <x:v>V1 Target</x:v>
      </x:c>
      <x:c r="D19" s="21" t="str">
        <x:v>Evidence</x:v>
      </x:c>
      <x:c r="E19" s="75"/>
      <x:c r="F19" s="75"/>
      <x:c r="G19" s="75"/>
      <x:c r="H19" s="75"/>
    </x:row>
    <x:row r="20">
      <x:c r="A20" s="76" t="str">
        <x:v>Economy</x:v>
      </x:c>
      <x:c r="B20" s="76" t="str">
        <x:v>First useful purchase</x:v>
      </x:c>
      <x:c r="C20" s="76" t="str">
        <x:v>3-5 services</x:v>
      </x:c>
      <x:c r="D20" s="76" t="str">
        <x:v>Playtest median</x:v>
      </x:c>
      <x:c r="E20" s="75"/>
      <x:c r="F20" s="75"/>
      <x:c r="G20" s="75"/>
      <x:c r="H20" s="75"/>
    </x:row>
    <x:row r="21">
      <x:c r="A21" s="79" t="str">
        <x:v>Progression</x:v>
      </x:c>
      <x:c r="B21" s="79" t="str">
        <x:v>First visible relationship reward</x:v>
      </x:c>
      <x:c r="C21" s="79" t="str">
        <x:v>2 visits</x:v>
      </x:c>
      <x:c r="D21" s="79" t="str">
        <x:v>Local event log</x:v>
      </x:c>
      <x:c r="E21" s="75"/>
      <x:c r="F21" s="75"/>
      <x:c r="G21" s="75"/>
      <x:c r="H21" s="75"/>
    </x:row>
    <x:row r="22">
      <x:c r="A22" s="79" t="str">
        <x:v>Content</x:v>
      </x:c>
      <x:c r="B22" s="79" t="str">
        <x:v>Immediate repeated guest message</x:v>
      </x:c>
      <x:c r="C22" s="79" t="str">
        <x:v>0 repeats in previous 2</x:v>
      </x:c>
      <x:c r="D22" s="79" t="str">
        <x:v>Shuffle-bag test</x:v>
      </x:c>
      <x:c r="E22" s="75"/>
      <x:c r="F22" s="75"/>
      <x:c r="G22" s="75"/>
      <x:c r="H22" s="75"/>
    </x:row>
    <x:row r="23">
      <x:c r="A23" s="82" t="str">
        <x:v>Usability</x:v>
      </x:c>
      <x:c r="B23" s="82" t="str">
        <x:v>Player understands next unlock</x:v>
      </x:c>
      <x:c r="C23" s="82" t="str">
        <x:v>No hidden mixed gate</x:v>
      </x:c>
      <x:c r="D23" s="82" t="str">
        <x:v>Observed playtest</x:v>
      </x:c>
      <x:c r="E23" s="75"/>
      <x:c r="F23" s="75"/>
      <x:c r="G23" s="75"/>
      <x:c r="H23" s="75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823d27e36cfd453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5" hidden="0" customWidth="1"/>
    <x:col min="3" max="3" width="15" hidden="0" customWidth="1"/>
    <x:col min="4" max="4" width="38" hidden="0" customWidth="1"/>
  </x:cols>
  <x:sheetData>
    <x:row r="1" ht="32" customHeight="1">
      <x:c r="A1" s="74" t="str">
        <x:v>Night Shrine Cafe - Balance V1 Assumptions</x:v>
      </x:c>
      <x:c r="B1" s="74"/>
      <x:c r="C1" s="74"/>
      <x:c r="D1" s="74"/>
    </x:row>
    <x:row r="2" ht="28" customHeight="1">
      <x:c r="A2" s="8" t="str">
        <x:v>Blue cells are planning inputs. Green cells are formula outputs. Change assumptions first, then review every linked sheet.</x:v>
      </x:c>
      <x:c r="B2" s="8"/>
      <x:c r="C2" s="8"/>
      <x:c r="D2" s="8"/>
    </x:row>
    <x:row r="3">
      <x:c r="A3" s="75"/>
      <x:c r="B3" s="75"/>
      <x:c r="C3" s="75"/>
      <x:c r="D3" s="75"/>
    </x:row>
    <x:row r="4" ht="30" customHeight="1">
      <x:c r="A4" s="19" t="str">
        <x:v>Metric</x:v>
      </x:c>
      <x:c r="B4" s="20" t="str">
        <x:v>Current</x:v>
      </x:c>
      <x:c r="C4" s="20" t="str">
        <x:v>V1 Proposed</x:v>
      </x:c>
      <x:c r="D4" s="21" t="str">
        <x:v>Unit / Meaning</x:v>
      </x:c>
    </x:row>
    <x:row r="5">
      <x:c r="A5" s="76" t="str">
        <x:v>Seed cost rate</x:v>
      </x:c>
      <x:c r="B5" s="88" t="n">
        <x:v>0.5</x:v>
      </x:c>
      <x:c r="C5" s="88" t="n">
        <x:v>0.35</x:v>
      </x:c>
      <x:c r="D5" s="76" t="str">
        <x:v>Share of gross crop value</x:v>
      </x:c>
    </x:row>
    <x:row r="6">
      <x:c r="A6" s="79" t="str">
        <x:v>Growth seconds per net value</x:v>
      </x:c>
      <x:c r="B6" s="89" t="n">
        <x:v>45</x:v>
      </x:c>
      <x:c r="C6" s="89"/>
      <x:c r="D6" s="79" t="str">
        <x:v>Prototype-only real-time formula</x:v>
      </x:c>
    </x:row>
    <x:row r="7">
      <x:c r="A7" s="79" t="str">
        <x:v>One gameplay loop</x:v>
      </x:c>
      <x:c r="B7" s="89"/>
      <x:c r="C7" s="89" t="n">
        <x:v>8</x:v>
      </x:c>
      <x:c r="D7" s="79" t="str">
        <x:v>Minutes; cafe shift or night patrol</x:v>
      </x:c>
    </x:row>
    <x:row r="8">
      <x:c r="A8" s="79" t="str">
        <x:v>Menu markup rate</x:v>
      </x:c>
      <x:c r="B8" s="90" t="n">
        <x:v>0.25</x:v>
      </x:c>
      <x:c r="C8" s="90" t="n">
        <x:v>0.45</x:v>
      </x:c>
      <x:c r="D8" s="79" t="str">
        <x:v>Applied to ingredient reference cost</x:v>
      </x:c>
    </x:row>
    <x:row r="9">
      <x:c r="A9" s="79" t="str">
        <x:v>Minimum menu profit</x:v>
      </x:c>
      <x:c r="B9" s="89" t="n">
        <x:v>1</x:v>
      </x:c>
      <x:c r="C9" s="89" t="n">
        <x:v>1</x:v>
      </x:c>
      <x:c r="D9" s="79" t="str">
        <x:v>Faith per dish</x:v>
      </x:c>
    </x:row>
    <x:row r="10">
      <x:c r="A10" s="79" t="str">
        <x:v>Favorite request chance</x:v>
      </x:c>
      <x:c r="B10" s="90" t="n">
        <x:v>0.3333333333333333</x:v>
      </x:c>
      <x:c r="C10" s="90" t="n">
        <x:v>0.3333333333333333</x:v>
      </x:c>
      <x:c r="D10" s="79" t="str">
        <x:v>Current request pool has three dishes</x:v>
      </x:c>
    </x:row>
    <x:row r="11">
      <x:c r="A11" s="79" t="str">
        <x:v>Base affection per served request</x:v>
      </x:c>
      <x:c r="B11" s="89" t="n">
        <x:v>0</x:v>
      </x:c>
      <x:c r="C11" s="89" t="n">
        <x:v>1</x:v>
      </x:c>
      <x:c r="D11" s="79" t="str">
        <x:v>V1 gives progress for every valid service</x:v>
      </x:c>
    </x:row>
    <x:row r="12">
      <x:c r="A12" s="79" t="str">
        <x:v>Favorite affection bonus</x:v>
      </x:c>
      <x:c r="B12" s="89" t="n">
        <x:v>1</x:v>
      </x:c>
      <x:c r="C12" s="89" t="n">
        <x:v>1</x:v>
      </x:c>
      <x:c r="D12" s="79" t="str">
        <x:v>Added when request matches preference</x:v>
      </x:c>
    </x:row>
    <x:row r="13">
      <x:c r="A13" s="79" t="str">
        <x:v>Regular visitor count</x:v>
      </x:c>
      <x:c r="B13" s="89" t="n">
        <x:v>10</x:v>
      </x:c>
      <x:c r="C13" s="89" t="n">
        <x:v>10</x:v>
      </x:c>
      <x:c r="D13" s="79" t="str">
        <x:v>Special visitor excluded</x:v>
      </x:c>
    </x:row>
    <x:row r="14">
      <x:c r="A14" s="79" t="str">
        <x:v>Messages per regular visitor</x:v>
      </x:c>
      <x:c r="B14" s="89" t="n">
        <x:v>2</x:v>
      </x:c>
      <x:c r="C14" s="89" t="n">
        <x:v>6</x:v>
      </x:c>
      <x:c r="D14" s="79" t="str">
        <x:v>4 normal + 1 favorite + 1 milestone</x:v>
      </x:c>
    </x:row>
    <x:row r="15">
      <x:c r="A15" s="79" t="str">
        <x:v>Menu count</x:v>
      </x:c>
      <x:c r="B15" s="89" t="n">
        <x:v>3</x:v>
      </x:c>
      <x:c r="C15" s="89" t="n">
        <x:v>9</x:v>
      </x:c>
      <x:c r="D15" s="79" t="str">
        <x:v>3 initial + 3 expansion + 3 story</x:v>
      </x:c>
    </x:row>
    <x:row r="16">
      <x:c r="A16" s="82" t="str">
        <x:v>Active seats</x:v>
      </x:c>
      <x:c r="B16" s="91" t="n">
        <x:v>4</x:v>
      </x:c>
      <x:c r="C16" s="91" t="n">
        <x:v>4</x:v>
      </x:c>
      <x:c r="D16" s="82" t="str">
        <x:v>Current cafe capacity</x:v>
      </x:c>
    </x:row>
    <x:row r="17">
      <x:c r="A17" s="75"/>
      <x:c r="B17" s="75"/>
      <x:c r="C17" s="75"/>
      <x:c r="D17" s="75"/>
    </x:row>
    <x:row r="18">
      <x:c r="A18" s="75"/>
      <x:c r="B18" s="75"/>
      <x:c r="C18" s="75"/>
      <x:c r="D18" s="75"/>
    </x:row>
    <x:row r="19" ht="30" customHeight="1">
      <x:c r="A19" s="19" t="str">
        <x:v>Ingredient ID</x:v>
      </x:c>
      <x:c r="B19" s="20" t="str">
        <x:v>Display Name</x:v>
      </x:c>
      <x:c r="C19" s="21" t="str">
        <x:v>Unit Faith Value</x:v>
      </x:c>
      <x:c r="D19" s="75"/>
    </x:row>
    <x:row r="20">
      <x:c r="A20" s="76" t="str">
        <x:v>coffee_bean</x:v>
      </x:c>
      <x:c r="B20" s="76" t="str">
        <x:v>Coffee Bean</x:v>
      </x:c>
      <x:c r="C20" s="92" t="n">
        <x:v>1</x:v>
      </x:c>
      <x:c r="D20" s="75"/>
    </x:row>
    <x:row r="21">
      <x:c r="A21" s="79" t="str">
        <x:v>milk</x:v>
      </x:c>
      <x:c r="B21" s="79" t="str">
        <x:v>Milk</x:v>
      </x:c>
      <x:c r="C21" s="89" t="n">
        <x:v>1</x:v>
      </x:c>
      <x:c r="D21" s="75"/>
    </x:row>
    <x:row r="22">
      <x:c r="A22" s="79" t="str">
        <x:v>sugar</x:v>
      </x:c>
      <x:c r="B22" s="79" t="str">
        <x:v>Sugar</x:v>
      </x:c>
      <x:c r="C22" s="89" t="n">
        <x:v>1</x:v>
      </x:c>
      <x:c r="D22" s="75"/>
    </x:row>
    <x:row r="23">
      <x:c r="A23" s="79" t="str">
        <x:v>flour</x:v>
      </x:c>
      <x:c r="B23" s="79" t="str">
        <x:v>Flour</x:v>
      </x:c>
      <x:c r="C23" s="89" t="n">
        <x:v>2</x:v>
      </x:c>
      <x:c r="D23" s="75"/>
    </x:row>
    <x:row r="24">
      <x:c r="A24" s="79" t="str">
        <x:v>crimson_pepper</x:v>
      </x:c>
      <x:c r="B24" s="79" t="str">
        <x:v>Crimson Pepper (planned)</x:v>
      </x:c>
      <x:c r="C24" s="89" t="n">
        <x:v>3</x:v>
      </x:c>
      <x:c r="D24" s="75"/>
    </x:row>
    <x:row r="25">
      <x:c r="A25" s="79" t="str">
        <x:v>frost_crystal</x:v>
      </x:c>
      <x:c r="B25" s="79" t="str">
        <x:v>Frost Crystal (planned)</x:v>
      </x:c>
      <x:c r="C25" s="89" t="n">
        <x:v>3</x:v>
      </x:c>
      <x:c r="D25" s="75"/>
    </x:row>
    <x:row r="26">
      <x:c r="A26" s="82" t="str">
        <x:v>blessing</x:v>
      </x:c>
      <x:c r="B26" s="82" t="str">
        <x:v>Divine Blessing (planned)</x:v>
      </x:c>
      <x:c r="C26" s="91" t="n">
        <x:v>4</x:v>
      </x:c>
      <x:c r="D26" s="75"/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32" customHeight="1">
      <x:c r="A1" s="93" t="str">
        <x:v>Crop Economy</x:v>
      </x:c>
      <x:c r="B1" s="93"/>
      <x:c r="C1" s="93"/>
      <x:c r="D1" s="93"/>
      <x:c r="E1" s="93"/>
      <x:c r="F1" s="93"/>
      <x:c r="G1" s="93"/>
      <x:c r="H1" s="93"/>
      <x:c r="I1" s="93"/>
      <x:c r="J1" s="93"/>
      <x:c r="K1" s="93"/>
      <x:c r="L1" s="93"/>
      <x:c r="M1" s="93"/>
      <x:c r="N1" s="93"/>
    </x:row>
    <x:row r="2" ht="28" customHeight="1">
      <x:c r="A2" s="8" t="str">
        <x:v>Current seconds are preserved for comparison. V1 growth is measured by meaningful gameplay loops, not idle waiting.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3">
      <x:c r="A3" s="75"/>
      <x:c r="B3" s="75"/>
      <x:c r="C3" s="75"/>
      <x:c r="D3" s="75"/>
      <x:c r="E3" s="75"/>
      <x:c r="F3" s="75"/>
      <x:c r="G3" s="75"/>
      <x:c r="H3" s="75"/>
      <x:c r="I3" s="75"/>
      <x:c r="J3" s="75"/>
      <x:c r="K3" s="75"/>
      <x:c r="L3" s="75"/>
      <x:c r="M3" s="75"/>
      <x:c r="N3" s="75"/>
    </x:row>
    <x:row r="4" ht="30" customHeight="1">
      <x:c r="A4" s="19" t="str">
        <x:v>Crop ID</x:v>
      </x:c>
      <x:c r="B4" s="20" t="str">
        <x:v>Crop</x:v>
      </x:c>
      <x:c r="C4" s="20" t="str">
        <x:v>Unit Value</x:v>
      </x:c>
      <x:c r="D4" s="20" t="str">
        <x:v>Current Yield</x:v>
      </x:c>
      <x:c r="E4" s="20" t="str">
        <x:v>Current Gross</x:v>
      </x:c>
      <x:c r="F4" s="20" t="str">
        <x:v>Current Seed Rate</x:v>
      </x:c>
      <x:c r="G4" s="20" t="str">
        <x:v>Current Seed Price</x:v>
      </x:c>
      <x:c r="H4" s="20" t="str">
        <x:v>Current Net</x:v>
      </x:c>
      <x:c r="I4" s="20" t="str">
        <x:v>Current Growth Sec</x:v>
      </x:c>
      <x:c r="J4" s="20" t="str">
        <x:v>V1 Yield</x:v>
      </x:c>
      <x:c r="K4" s="20" t="str">
        <x:v>Scarcity Modifier</x:v>
      </x:c>
      <x:c r="L4" s="20" t="str">
        <x:v>V1 Seed Price</x:v>
      </x:c>
      <x:c r="M4" s="20" t="str">
        <x:v>V1 Growth Loops</x:v>
      </x:c>
      <x:c r="N4" s="21" t="str">
        <x:v>Estimated Minutes</x:v>
      </x:c>
    </x:row>
    <x:row r="5">
      <x:c r="A5" s="76" t="str">
        <x:v>wheat</x:v>
      </x:c>
      <x:c r="B5" s="76" t="str">
        <x:v>Wheat</x:v>
      </x:c>
      <x:c r="C5" s="92" t="n">
        <x:v>2</x:v>
      </x:c>
      <x:c r="D5" s="92" t="n">
        <x:v>2</x:v>
      </x:c>
      <x:c r="E5" s="94" t="n">
        <x:f>C5*D5</x:f>
        <x:v>4</x:v>
      </x:c>
      <x:c r="F5" s="95" t="n">
        <x:f>'Assumptions'!$B$5</x:f>
        <x:v>0.5</x:v>
      </x:c>
      <x:c r="G5" s="94" t="n">
        <x:f>ROUNDUP(E5*F5,0)</x:f>
        <x:v>2</x:v>
      </x:c>
      <x:c r="H5" s="94" t="n">
        <x:f>E5-G5</x:f>
        <x:v>2</x:v>
      </x:c>
      <x:c r="I5" s="94" t="n">
        <x:f>H5*'Assumptions'!$B$6</x:f>
        <x:v>90</x:v>
      </x:c>
      <x:c r="J5" s="92" t="n">
        <x:v>2</x:v>
      </x:c>
      <x:c r="K5" s="92" t="n">
        <x:v>0</x:v>
      </x:c>
      <x:c r="L5" s="77" t="n">
        <x:f>ROUNDUP(C5*J5*'Assumptions'!$C$5,0)</x:f>
        <x:v>2</x:v>
      </x:c>
      <x:c r="M5" s="77" t="n">
        <x:f>MAX(1,MIN(3,ROUNDUP(C5*J5/3,0)+K5))</x:f>
        <x:v>2</x:v>
      </x:c>
      <x:c r="N5" s="77" t="n">
        <x:f>M5*'Assumptions'!$C$7</x:f>
        <x:v>16</x:v>
      </x:c>
    </x:row>
    <x:row r="6">
      <x:c r="A6" s="79" t="str">
        <x:v>coffee_bean</x:v>
      </x:c>
      <x:c r="B6" s="79" t="str">
        <x:v>Coffee Bean</x:v>
      </x:c>
      <x:c r="C6" s="89" t="n">
        <x:v>1</x:v>
      </x:c>
      <x:c r="D6" s="89" t="n">
        <x:v>2</x:v>
      </x:c>
      <x:c r="E6" s="96" t="n">
        <x:f>C6*D6</x:f>
        <x:v>2</x:v>
      </x:c>
      <x:c r="F6" s="97" t="n">
        <x:f>'Assumptions'!$B$5</x:f>
        <x:v>0.5</x:v>
      </x:c>
      <x:c r="G6" s="96" t="n">
        <x:f>ROUNDUP(E6*F6,0)</x:f>
        <x:v>1</x:v>
      </x:c>
      <x:c r="H6" s="96" t="n">
        <x:f>E6-G6</x:f>
        <x:v>1</x:v>
      </x:c>
      <x:c r="I6" s="96" t="n">
        <x:f>H6*'Assumptions'!$B$6</x:f>
        <x:v>45</x:v>
      </x:c>
      <x:c r="J6" s="89" t="n">
        <x:v>2</x:v>
      </x:c>
      <x:c r="K6" s="89" t="n">
        <x:v>0</x:v>
      </x:c>
      <x:c r="L6" s="80" t="n">
        <x:f>ROUNDUP(C6*J6*'Assumptions'!$C$5,0)</x:f>
        <x:v>1</x:v>
      </x:c>
      <x:c r="M6" s="80" t="n">
        <x:f>MAX(1,MIN(3,ROUNDUP(C6*J6/3,0)+K6))</x:f>
        <x:v>1</x:v>
      </x:c>
      <x:c r="N6" s="80" t="n">
        <x:f>M6*'Assumptions'!$C$7</x:f>
        <x:v>8</x:v>
      </x:c>
    </x:row>
    <x:row r="7">
      <x:c r="A7" s="82" t="str">
        <x:v>sugarcane</x:v>
      </x:c>
      <x:c r="B7" s="82" t="str">
        <x:v>Sugarcane</x:v>
      </x:c>
      <x:c r="C7" s="91" t="n">
        <x:v>1</x:v>
      </x:c>
      <x:c r="D7" s="91" t="n">
        <x:v>2</x:v>
      </x:c>
      <x:c r="E7" s="98" t="n">
        <x:f>C7*D7</x:f>
        <x:v>2</x:v>
      </x:c>
      <x:c r="F7" s="99" t="n">
        <x:f>'Assumptions'!$B$5</x:f>
        <x:v>0.5</x:v>
      </x:c>
      <x:c r="G7" s="98" t="n">
        <x:f>ROUNDUP(E7*F7,0)</x:f>
        <x:v>1</x:v>
      </x:c>
      <x:c r="H7" s="98" t="n">
        <x:f>E7-G7</x:f>
        <x:v>1</x:v>
      </x:c>
      <x:c r="I7" s="98" t="n">
        <x:f>H7*'Assumptions'!$B$6</x:f>
        <x:v>45</x:v>
      </x:c>
      <x:c r="J7" s="91" t="n">
        <x:v>3</x:v>
      </x:c>
      <x:c r="K7" s="91" t="n">
        <x:v>1</x:v>
      </x:c>
      <x:c r="L7" s="100" t="n">
        <x:f>ROUNDUP(C7*J7*'Assumptions'!$C$5,0)</x:f>
        <x:v>2</x:v>
      </x:c>
      <x:c r="M7" s="100" t="n">
        <x:f>MAX(1,MIN(3,ROUNDUP(C7*J7/3,0)+K7))</x:f>
        <x:v>2</x:v>
      </x:c>
      <x:c r="N7" s="100" t="n">
        <x:f>M7*'Assumptions'!$C$7</x:f>
        <x:v>16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18" hidden="0" customWidth="1"/>
    <x:col min="4" max="4" width="12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 ht="32" customHeight="1">
      <x:c r="A1" s="93" t="str">
        <x:v>Recipe Economy And Menu Roadmap</x:v>
      </x:c>
      <x:c r="B1" s="93"/>
      <x:c r="C1" s="93"/>
      <x:c r="D1" s="93"/>
      <x:c r="E1" s="93"/>
      <x:c r="F1" s="93"/>
      <x:c r="G1" s="93"/>
      <x:c r="H1" s="93"/>
      <x:c r="I1" s="93"/>
      <x:c r="J1" s="93"/>
      <x:c r="K1" s="93"/>
      <x:c r="L1" s="93"/>
      <x:c r="M1" s="93"/>
      <x:c r="N1" s="93"/>
      <x:c r="O1" s="93"/>
      <x:c r="P1" s="93"/>
    </x:row>
    <x:row r="2" ht="28" customHeight="1">
      <x:c r="A2" s="8" t="str">
        <x:v>The first three recipes are implemented. Expansion recipes reuse current ingredients; story recipes introduce rewards only after their story beat.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</x:row>
    <x:row r="3">
      <x:c r="A3" s="75"/>
      <x:c r="B3" s="75"/>
      <x:c r="C3" s="75"/>
      <x:c r="D3" s="75"/>
      <x:c r="E3" s="75"/>
      <x:c r="F3" s="75"/>
      <x:c r="G3" s="75"/>
      <x:c r="H3" s="75"/>
      <x:c r="I3" s="75"/>
      <x:c r="J3" s="75"/>
      <x:c r="K3" s="75"/>
      <x:c r="L3" s="75"/>
      <x:c r="M3" s="75"/>
      <x:c r="N3" s="75"/>
      <x:c r="O3" s="75"/>
      <x:c r="P3" s="75"/>
    </x:row>
    <x:row r="4" ht="30" customHeight="1">
      <x:c r="A4" s="19" t="str">
        <x:v>Menu ID</x:v>
      </x:c>
      <x:c r="B4" s="20" t="str">
        <x:v>Japanese Name</x:v>
      </x:c>
      <x:c r="C4" s="20" t="str">
        <x:v>Unlock Stage</x:v>
      </x:c>
      <x:c r="D4" s="20" t="str">
        <x:v>Machine</x:v>
      </x:c>
      <x:c r="E4" s="20" t="str">
        <x:v>Coffee</x:v>
      </x:c>
      <x:c r="F4" s="20" t="str">
        <x:v>Milk</x:v>
      </x:c>
      <x:c r="G4" s="20" t="str">
        <x:v>Sugar</x:v>
      </x:c>
      <x:c r="H4" s="20" t="str">
        <x:v>Flour</x:v>
      </x:c>
      <x:c r="I4" s="20" t="str">
        <x:v>Pepper</x:v>
      </x:c>
      <x:c r="J4" s="20" t="str">
        <x:v>Frost</x:v>
      </x:c>
      <x:c r="K4" s="20" t="str">
        <x:v>Reference Cost</x:v>
      </x:c>
      <x:c r="L4" s="20" t="str">
        <x:v>Current Reward</x:v>
      </x:c>
      <x:c r="M4" s="20" t="str">
        <x:v>Complexity Bonus</x:v>
      </x:c>
      <x:c r="N4" s="20" t="str">
        <x:v>V1 Reward</x:v>
      </x:c>
      <x:c r="O4" s="20" t="str">
        <x:v>Current Profit</x:v>
      </x:c>
      <x:c r="P4" s="21" t="str">
        <x:v>V1 Profit</x:v>
      </x:c>
    </x:row>
    <x:row r="5">
      <x:c r="A5" s="92" t="str">
        <x:v>inari_coffee</x:v>
      </x:c>
      <x:c r="B5" s="92" t="str">
        <x:v>稲荷コーヒー</x:v>
      </x:c>
      <x:c r="C5" s="92" t="str">
        <x:v>Initial</x:v>
      </x:c>
      <x:c r="D5" s="92" t="str">
        <x:v>Coffee</x:v>
      </x:c>
      <x:c r="E5" s="92" t="n">
        <x:v>1</x:v>
      </x:c>
      <x:c r="F5" s="92" t="n">
        <x:v>0</x:v>
      </x:c>
      <x:c r="G5" s="92" t="n">
        <x:v>0</x:v>
      </x:c>
      <x:c r="H5" s="92" t="n">
        <x:v>0</x:v>
      </x:c>
      <x:c r="I5" s="92" t="n">
        <x:v>0</x:v>
      </x:c>
      <x:c r="J5" s="92" t="n">
        <x:v>0</x:v>
      </x:c>
      <x:c r="K5" s="94" t="n">
        <x:f>E5*'Assumptions'!$C$20+F5*'Assumptions'!$C$21+G5*'Assumptions'!$C$22+H5*'Assumptions'!$C$23+I5*'Assumptions'!$C$24+J5*'Assumptions'!$C$25</x:f>
        <x:v>1</x:v>
      </x:c>
      <x:c r="L5" s="94" t="n">
        <x:f>IF(C5="Initial",MAX(K5+'Assumptions'!$B$9,ROUNDUP(K5*(1+'Assumptions'!$B$8),0)),"")</x:f>
        <x:v>2</x:v>
      </x:c>
      <x:c r="M5" s="92" t="n">
        <x:v>0</x:v>
      </x:c>
      <x:c r="N5" s="77" t="n">
        <x:f>MAX(K5+'Assumptions'!$C$9,ROUNDUP(K5*(1+'Assumptions'!$C$8),0)+M5)</x:f>
        <x:v>2</x:v>
      </x:c>
      <x:c r="O5" s="77" t="n">
        <x:f>IF(L5="","",L5-K5)</x:f>
        <x:v>1</x:v>
      </x:c>
      <x:c r="P5" s="77" t="n">
        <x:f>N5-K5</x:f>
        <x:v>1</x:v>
      </x:c>
    </x:row>
    <x:row r="6">
      <x:c r="A6" s="89" t="str">
        <x:v>kitsunebi_latte</x:v>
      </x:c>
      <x:c r="B6" s="89" t="str">
        <x:v>狐火ラテ</x:v>
      </x:c>
      <x:c r="C6" s="89" t="str">
        <x:v>Initial</x:v>
      </x:c>
      <x:c r="D6" s="89" t="str">
        <x:v>Coffee</x:v>
      </x:c>
      <x:c r="E6" s="89" t="n">
        <x:v>1</x:v>
      </x:c>
      <x:c r="F6" s="89" t="n">
        <x:v>1</x:v>
      </x:c>
      <x:c r="G6" s="89" t="n">
        <x:v>0</x:v>
      </x:c>
      <x:c r="H6" s="89" t="n">
        <x:v>0</x:v>
      </x:c>
      <x:c r="I6" s="89" t="n">
        <x:v>0</x:v>
      </x:c>
      <x:c r="J6" s="89" t="n">
        <x:v>0</x:v>
      </x:c>
      <x:c r="K6" s="96" t="n">
        <x:f>E6*'Assumptions'!$C$20+F6*'Assumptions'!$C$21+G6*'Assumptions'!$C$22+H6*'Assumptions'!$C$23+I6*'Assumptions'!$C$24+J6*'Assumptions'!$C$25</x:f>
        <x:v>2</x:v>
      </x:c>
      <x:c r="L6" s="96" t="n">
        <x:f>IF(C6="Initial",MAX(K6+'Assumptions'!$B$9,ROUNDUP(K6*(1+'Assumptions'!$B$8),0)),"")</x:f>
        <x:v>3</x:v>
      </x:c>
      <x:c r="M6" s="89" t="n">
        <x:v>0</x:v>
      </x:c>
      <x:c r="N6" s="80" t="n">
        <x:f>MAX(K6+'Assumptions'!$C$9,ROUNDUP(K6*(1+'Assumptions'!$C$8),0)+M6)</x:f>
        <x:v>3</x:v>
      </x:c>
      <x:c r="O6" s="80" t="n">
        <x:f>IF(L6="","",L6-K6)</x:f>
        <x:v>1</x:v>
      </x:c>
      <x:c r="P6" s="80" t="n">
        <x:f>N6-K6</x:f>
        <x:v>1</x:v>
      </x:c>
    </x:row>
    <x:row r="7">
      <x:c r="A7" s="89" t="str">
        <x:v>yozakura_cake</x:v>
      </x:c>
      <x:c r="B7" s="89" t="str">
        <x:v>夜桜ケーキ</x:v>
      </x:c>
      <x:c r="C7" s="89" t="str">
        <x:v>Initial</x:v>
      </x:c>
      <x:c r="D7" s="89" t="str">
        <x:v>Baker</x:v>
      </x:c>
      <x:c r="E7" s="89" t="n">
        <x:v>0</x:v>
      </x:c>
      <x:c r="F7" s="89" t="n">
        <x:v>0</x:v>
      </x:c>
      <x:c r="G7" s="89" t="n">
        <x:v>1</x:v>
      </x:c>
      <x:c r="H7" s="89" t="n">
        <x:v>1</x:v>
      </x:c>
      <x:c r="I7" s="89" t="n">
        <x:v>0</x:v>
      </x:c>
      <x:c r="J7" s="89" t="n">
        <x:v>0</x:v>
      </x:c>
      <x:c r="K7" s="96" t="n">
        <x:f>E7*'Assumptions'!$C$20+F7*'Assumptions'!$C$21+G7*'Assumptions'!$C$22+H7*'Assumptions'!$C$23+I7*'Assumptions'!$C$24+J7*'Assumptions'!$C$25</x:f>
        <x:v>3</x:v>
      </x:c>
      <x:c r="L7" s="96" t="n">
        <x:f>IF(C7="Initial",MAX(K7+'Assumptions'!$B$9,ROUNDUP(K7*(1+'Assumptions'!$B$8),0)),"")</x:f>
        <x:v>4</x:v>
      </x:c>
      <x:c r="M7" s="89" t="n">
        <x:v>0</x:v>
      </x:c>
      <x:c r="N7" s="80" t="n">
        <x:f>MAX(K7+'Assumptions'!$C$9,ROUNDUP(K7*(1+'Assumptions'!$C$8),0)+M7)</x:f>
        <x:v>5</x:v>
      </x:c>
      <x:c r="O7" s="80" t="n">
        <x:f>IF(L7="","",L7-K7)</x:f>
        <x:v>1</x:v>
      </x:c>
      <x:c r="P7" s="80" t="n">
        <x:f>N7-K7</x:f>
        <x:v>2</x:v>
      </x:c>
    </x:row>
    <x:row r="8">
      <x:c r="A8" s="89" t="str">
        <x:v>tsukimi_milk</x:v>
      </x:c>
      <x:c r="B8" s="89" t="str">
        <x:v>月見ミルク</x:v>
      </x:c>
      <x:c r="C8" s="89" t="str">
        <x:v>Cafe Expansion</x:v>
      </x:c>
      <x:c r="D8" s="89" t="str">
        <x:v>Coffee</x:v>
      </x:c>
      <x:c r="E8" s="89" t="n">
        <x:v>0</x:v>
      </x:c>
      <x:c r="F8" s="89" t="n">
        <x:v>1</x:v>
      </x:c>
      <x:c r="G8" s="89" t="n">
        <x:v>1</x:v>
      </x:c>
      <x:c r="H8" s="89" t="n">
        <x:v>0</x:v>
      </x:c>
      <x:c r="I8" s="89" t="n">
        <x:v>0</x:v>
      </x:c>
      <x:c r="J8" s="89" t="n">
        <x:v>0</x:v>
      </x:c>
      <x:c r="K8" s="96" t="n">
        <x:f>E8*'Assumptions'!$C$20+F8*'Assumptions'!$C$21+G8*'Assumptions'!$C$22+H8*'Assumptions'!$C$23+I8*'Assumptions'!$C$24+J8*'Assumptions'!$C$25</x:f>
        <x:v>2</x:v>
      </x:c>
      <x:c r="L8" s="96" t="str">
        <x:f>IF(C8="Initial",MAX(K8+'Assumptions'!$B$9,ROUNDUP(K8*(1+'Assumptions'!$B$8),0)),"")</x:f>
      </x:c>
      <x:c r="M8" s="89" t="n">
        <x:v>0</x:v>
      </x:c>
      <x:c r="N8" s="80" t="n">
        <x:f>MAX(K8+'Assumptions'!$C$9,ROUNDUP(K8*(1+'Assumptions'!$C$8),0)+M8)</x:f>
        <x:v>3</x:v>
      </x:c>
      <x:c r="O8" s="80" t="str">
        <x:f>IF(L8="","",L8-K8)</x:f>
      </x:c>
      <x:c r="P8" s="80" t="n">
        <x:f>N8-K8</x:f>
        <x:v>1</x:v>
      </x:c>
    </x:row>
    <x:row r="9">
      <x:c r="A9" s="89" t="str">
        <x:v>kagura_french_toast</x:v>
      </x:c>
      <x:c r="B9" s="89" t="str">
        <x:v>神楽フレンチトースト</x:v>
      </x:c>
      <x:c r="C9" s="89" t="str">
        <x:v>Cafe Expansion</x:v>
      </x:c>
      <x:c r="D9" s="89" t="str">
        <x:v>Baker</x:v>
      </x:c>
      <x:c r="E9" s="89" t="n">
        <x:v>0</x:v>
      </x:c>
      <x:c r="F9" s="89" t="n">
        <x:v>1</x:v>
      </x:c>
      <x:c r="G9" s="89" t="n">
        <x:v>1</x:v>
      </x:c>
      <x:c r="H9" s="89" t="n">
        <x:v>1</x:v>
      </x:c>
      <x:c r="I9" s="89" t="n">
        <x:v>0</x:v>
      </x:c>
      <x:c r="J9" s="89" t="n">
        <x:v>0</x:v>
      </x:c>
      <x:c r="K9" s="96" t="n">
        <x:f>E9*'Assumptions'!$C$20+F9*'Assumptions'!$C$21+G9*'Assumptions'!$C$22+H9*'Assumptions'!$C$23+I9*'Assumptions'!$C$24+J9*'Assumptions'!$C$25</x:f>
        <x:v>4</x:v>
      </x:c>
      <x:c r="L9" s="96" t="str">
        <x:f>IF(C9="Initial",MAX(K9+'Assumptions'!$B$9,ROUNDUP(K9*(1+'Assumptions'!$B$8),0)),"")</x:f>
      </x:c>
      <x:c r="M9" s="89" t="n">
        <x:v>0</x:v>
      </x:c>
      <x:c r="N9" s="80" t="n">
        <x:f>MAX(K9+'Assumptions'!$C$9,ROUNDUP(K9*(1+'Assumptions'!$C$8),0)+M9)</x:f>
        <x:v>6</x:v>
      </x:c>
      <x:c r="O9" s="80" t="str">
        <x:f>IF(L9="","",L9-K9)</x:f>
      </x:c>
      <x:c r="P9" s="80" t="n">
        <x:f>N9-K9</x:f>
        <x:v>2</x:v>
      </x:c>
    </x:row>
    <x:row r="10">
      <x:c r="A10" s="89" t="str">
        <x:v>yoiyami_affogato</x:v>
      </x:c>
      <x:c r="B10" s="89" t="str">
        <x:v>宵闇アフォガート</x:v>
      </x:c>
      <x:c r="C10" s="89" t="str">
        <x:v>Cafe Expansion</x:v>
      </x:c>
      <x:c r="D10" s="89" t="str">
        <x:v>Coffee</x:v>
      </x:c>
      <x:c r="E10" s="89" t="n">
        <x:v>1</x:v>
      </x:c>
      <x:c r="F10" s="89" t="n">
        <x:v>1</x:v>
      </x:c>
      <x:c r="G10" s="89" t="n">
        <x:v>1</x:v>
      </x:c>
      <x:c r="H10" s="89" t="n">
        <x:v>0</x:v>
      </x:c>
      <x:c r="I10" s="89" t="n">
        <x:v>0</x:v>
      </x:c>
      <x:c r="J10" s="89" t="n">
        <x:v>0</x:v>
      </x:c>
      <x:c r="K10" s="96" t="n">
        <x:f>E10*'Assumptions'!$C$20+F10*'Assumptions'!$C$21+G10*'Assumptions'!$C$22+H10*'Assumptions'!$C$23+I10*'Assumptions'!$C$24+J10*'Assumptions'!$C$25</x:f>
        <x:v>3</x:v>
      </x:c>
      <x:c r="L10" s="96" t="str">
        <x:f>IF(C10="Initial",MAX(K10+'Assumptions'!$B$9,ROUNDUP(K10*(1+'Assumptions'!$B$8),0)),"")</x:f>
      </x:c>
      <x:c r="M10" s="89" t="n">
        <x:v>1</x:v>
      </x:c>
      <x:c r="N10" s="80" t="n">
        <x:f>MAX(K10+'Assumptions'!$C$9,ROUNDUP(K10*(1+'Assumptions'!$C$8),0)+M10)</x:f>
        <x:v>6</x:v>
      </x:c>
      <x:c r="O10" s="80" t="str">
        <x:f>IF(L10="","",L10-K10)</x:f>
      </x:c>
      <x:c r="P10" s="80" t="n">
        <x:f>N10-K10</x:f>
        <x:v>3</x:v>
      </x:c>
    </x:row>
    <x:row r="11">
      <x:c r="A11" s="89" t="str">
        <x:v>red_oni_dango</x:v>
      </x:c>
      <x:c r="B11" s="89" t="str">
        <x:v>赤鬼の獄辛団子</x:v>
      </x:c>
      <x:c r="C11" s="89" t="str">
        <x:v>After Red Oni</x:v>
      </x:c>
      <x:c r="D11" s="89" t="str">
        <x:v>Baker</x:v>
      </x:c>
      <x:c r="E11" s="89" t="n">
        <x:v>0</x:v>
      </x:c>
      <x:c r="F11" s="89" t="n">
        <x:v>0</x:v>
      </x:c>
      <x:c r="G11" s="89" t="n">
        <x:v>1</x:v>
      </x:c>
      <x:c r="H11" s="89" t="n">
        <x:v>1</x:v>
      </x:c>
      <x:c r="I11" s="89" t="n">
        <x:v>1</x:v>
      </x:c>
      <x:c r="J11" s="89" t="n">
        <x:v>0</x:v>
      </x:c>
      <x:c r="K11" s="96" t="n">
        <x:f>E11*'Assumptions'!$C$20+F11*'Assumptions'!$C$21+G11*'Assumptions'!$C$22+H11*'Assumptions'!$C$23+I11*'Assumptions'!$C$24+J11*'Assumptions'!$C$25</x:f>
        <x:v>6</x:v>
      </x:c>
      <x:c r="L11" s="96" t="str">
        <x:f>IF(C11="Initial",MAX(K11+'Assumptions'!$B$9,ROUNDUP(K11*(1+'Assumptions'!$B$8),0)),"")</x:f>
      </x:c>
      <x:c r="M11" s="89" t="n">
        <x:v>1</x:v>
      </x:c>
      <x:c r="N11" s="80" t="n">
        <x:f>MAX(K11+'Assumptions'!$C$9,ROUNDUP(K11*(1+'Assumptions'!$C$8),0)+M11)</x:f>
        <x:v>10</x:v>
      </x:c>
      <x:c r="O11" s="80" t="str">
        <x:f>IF(L11="","",L11-K11)</x:f>
      </x:c>
      <x:c r="P11" s="80" t="n">
        <x:f>N11-K11</x:f>
        <x:v>4</x:v>
      </x:c>
    </x:row>
    <x:row r="12">
      <x:c r="A12" s="89" t="str">
        <x:v>snow_woman_parfait</x:v>
      </x:c>
      <x:c r="B12" s="89" t="str">
        <x:v>雪女の霜月パフェ</x:v>
      </x:c>
      <x:c r="C12" s="89" t="str">
        <x:v>After Snow Woman</x:v>
      </x:c>
      <x:c r="D12" s="89" t="str">
        <x:v>Coffee</x:v>
      </x:c>
      <x:c r="E12" s="89" t="n">
        <x:v>0</x:v>
      </x:c>
      <x:c r="F12" s="89" t="n">
        <x:v>1</x:v>
      </x:c>
      <x:c r="G12" s="89" t="n">
        <x:v>1</x:v>
      </x:c>
      <x:c r="H12" s="89" t="n">
        <x:v>0</x:v>
      </x:c>
      <x:c r="I12" s="89" t="n">
        <x:v>0</x:v>
      </x:c>
      <x:c r="J12" s="89" t="n">
        <x:v>1</x:v>
      </x:c>
      <x:c r="K12" s="96" t="n">
        <x:f>E12*'Assumptions'!$C$20+F12*'Assumptions'!$C$21+G12*'Assumptions'!$C$22+H12*'Assumptions'!$C$23+I12*'Assumptions'!$C$24+J12*'Assumptions'!$C$25</x:f>
        <x:v>5</x:v>
      </x:c>
      <x:c r="L12" s="96" t="str">
        <x:f>IF(C12="Initial",MAX(K12+'Assumptions'!$B$9,ROUNDUP(K12*(1+'Assumptions'!$B$8),0)),"")</x:f>
      </x:c>
      <x:c r="M12" s="89" t="n">
        <x:v>1</x:v>
      </x:c>
      <x:c r="N12" s="80" t="n">
        <x:f>MAX(K12+'Assumptions'!$C$9,ROUNDUP(K12*(1+'Assumptions'!$C$8),0)+M12)</x:f>
        <x:v>9</x:v>
      </x:c>
      <x:c r="O12" s="80" t="str">
        <x:f>IF(L12="","",L12-K12)</x:f>
      </x:c>
      <x:c r="P12" s="80" t="n">
        <x:f>N12-K12</x:f>
        <x:v>4</x:v>
      </x:c>
    </x:row>
    <x:row r="13">
      <x:c r="A13" s="91" t="str">
        <x:v>divine_blessing_set</x:v>
      </x:c>
      <x:c r="B13" s="91" t="str">
        <x:v>神使の祝福膳</x:v>
      </x:c>
      <x:c r="C13" s="91" t="str">
        <x:v>Demo Finale</x:v>
      </x:c>
      <x:c r="D13" s="91" t="str">
        <x:v>Both</x:v>
      </x:c>
      <x:c r="E13" s="91" t="n">
        <x:v>1</x:v>
      </x:c>
      <x:c r="F13" s="91" t="n">
        <x:v>1</x:v>
      </x:c>
      <x:c r="G13" s="91" t="n">
        <x:v>1</x:v>
      </x:c>
      <x:c r="H13" s="91" t="n">
        <x:v>1</x:v>
      </x:c>
      <x:c r="I13" s="91" t="n">
        <x:v>0</x:v>
      </x:c>
      <x:c r="J13" s="91" t="n">
        <x:v>0</x:v>
      </x:c>
      <x:c r="K13" s="98" t="n">
        <x:f>E13*'Assumptions'!$C$20+F13*'Assumptions'!$C$21+G13*'Assumptions'!$C$22+H13*'Assumptions'!$C$23+I13*'Assumptions'!$C$24+J13*'Assumptions'!$C$25</x:f>
        <x:v>5</x:v>
      </x:c>
      <x:c r="L13" s="98" t="str">
        <x:f>IF(C13="Initial",MAX(K13+'Assumptions'!$B$9,ROUNDUP(K13*(1+'Assumptions'!$B$8),0)),"")</x:f>
      </x:c>
      <x:c r="M13" s="91" t="n">
        <x:v>2</x:v>
      </x:c>
      <x:c r="N13" s="100" t="n">
        <x:f>MAX(K13+'Assumptions'!$C$9,ROUNDUP(K13*(1+'Assumptions'!$C$8),0)+M13)</x:f>
        <x:v>10</x:v>
      </x:c>
      <x:c r="O13" s="100" t="str">
        <x:f>IF(L13="","",L13-K13)</x:f>
      </x:c>
      <x:c r="P13" s="100" t="n">
        <x:f>N13-K13</x:f>
        <x:v>5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13" hidden="0" customWidth="1"/>
    <x:col min="4" max="4" width="13" hidden="0" customWidth="1"/>
    <x:col min="5" max="5" width="13" hidden="0" customWidth="1"/>
    <x:col min="6" max="6" width="20" hidden="0" customWidth="1"/>
    <x:col min="7" max="7" width="20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2" customHeight="1">
      <x:c r="A1" s="93" t="str">
        <x:v>Furniture Progression</x:v>
      </x:c>
      <x:c r="B1" s="93"/>
      <x:c r="C1" s="93"/>
      <x:c r="D1" s="93"/>
      <x:c r="E1" s="93"/>
      <x:c r="F1" s="93"/>
      <x:c r="G1" s="93"/>
      <x:c r="H1" s="93"/>
      <x:c r="I1" s="93"/>
      <x:c r="J1" s="93"/>
      <x:c r="K1" s="93"/>
      <x:c r="L1" s="93"/>
    </x:row>
    <x:row r="2" ht="28" customHeight="1">
      <x:c r="A2" s="8" t="str">
        <x:v>V1 separates default decor, Faith purchases, bundles, functional upgrades, and visitor affection gifts. Included bundle pieces should not charge separately.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>
      <x:c r="A3" s="75"/>
      <x:c r="B3" s="75"/>
      <x:c r="C3" s="75"/>
      <x:c r="D3" s="75"/>
      <x:c r="E3" s="75"/>
      <x:c r="F3" s="75"/>
      <x:c r="G3" s="75"/>
      <x:c r="H3" s="75"/>
      <x:c r="I3" s="75"/>
      <x:c r="J3" s="75"/>
      <x:c r="K3" s="75"/>
      <x:c r="L3" s="75"/>
    </x:row>
    <x:row r="4" ht="30" customHeight="1">
      <x:c r="A4" s="19" t="str">
        <x:v>Furniture ID</x:v>
      </x:c>
      <x:c r="B4" s="20" t="str">
        <x:v>Display Name</x:v>
      </x:c>
      <x:c r="C4" s="20" t="str">
        <x:v>Current Faith</x:v>
      </x:c>
      <x:c r="D4" s="20" t="str">
        <x:v>Current Altar Lv</x:v>
      </x:c>
      <x:c r="E4" s="20" t="str">
        <x:v>Default</x:v>
      </x:c>
      <x:c r="F4" s="20" t="str">
        <x:v>V1 Unlock Mode</x:v>
      </x:c>
      <x:c r="G4" s="20" t="str">
        <x:v>Bundle / Owner</x:v>
      </x:c>
      <x:c r="H4" s="20" t="str">
        <x:v>Target Services</x:v>
      </x:c>
      <x:c r="I4" s="20" t="str">
        <x:v>Avg V1 Faith</x:v>
      </x:c>
      <x:c r="J4" s="20" t="str">
        <x:v>V1 Faith Cost</x:v>
      </x:c>
      <x:c r="K4" s="20" t="str">
        <x:v>Current Services</x:v>
      </x:c>
      <x:c r="L4" s="21" t="str">
        <x:v>V1 Services</x:v>
      </x:c>
    </x:row>
    <x:row r="5">
      <x:c r="A5" s="92" t="str">
        <x:v>fox_shrine_small</x:v>
      </x:c>
      <x:c r="B5" s="92" t="str">
        <x:v>狐の小さな神棚</x:v>
      </x:c>
      <x:c r="C5" s="92" t="n">
        <x:v>0</x:v>
      </x:c>
      <x:c r="D5" s="92" t="n">
        <x:v>1</x:v>
      </x:c>
      <x:c r="E5" s="101" t="b">
        <x:v>1</x:v>
      </x:c>
      <x:c r="F5" s="92" t="str">
        <x:v>Default</x:v>
      </x:c>
      <x:c r="G5" s="92" t="str"/>
      <x:c r="H5" s="92" t="n">
        <x:v>0</x:v>
      </x:c>
      <x:c r="I5" s="77" t="n">
        <x:f>AVERAGE('Recipes'!$N$5:$N$7)</x:f>
        <x:v>3.3333333333333335</x:v>
      </x:c>
      <x:c r="J5" s="77" t="n">
        <x:f>IF(OR(F5="Default",F5="Included",F5="Affection Gift"),0,ROUND(H5*I5,0))</x:f>
        <x:v>0</x:v>
      </x:c>
      <x:c r="K5" s="102" t="n">
        <x:f>IF(C5=0,0,C5/AVERAGE('Recipes'!$L$5:$L$7))</x:f>
        <x:v>0</x:v>
      </x:c>
      <x:c r="L5" s="102" t="n">
        <x:f>IF(J5=0,0,J5/I5)</x:f>
        <x:v>0</x:v>
      </x:c>
    </x:row>
    <x:row r="6">
      <x:c r="A6" s="89" t="str">
        <x:v>counter_decoration</x:v>
      </x:c>
      <x:c r="B6" s="89" t="str">
        <x:v>カウンター飾り</x:v>
      </x:c>
      <x:c r="C6" s="89" t="n">
        <x:v>0</x:v>
      </x:c>
      <x:c r="D6" s="89" t="n">
        <x:v>1</x:v>
      </x:c>
      <x:c r="E6" s="103" t="b">
        <x:v>1</x:v>
      </x:c>
      <x:c r="F6" s="89" t="str">
        <x:v>Default</x:v>
      </x:c>
      <x:c r="G6" s="89" t="str"/>
      <x:c r="H6" s="89" t="n">
        <x:v>0</x:v>
      </x:c>
      <x:c r="I6" s="80" t="n">
        <x:f>AVERAGE('Recipes'!$N$5:$N$7)</x:f>
        <x:v>3.3333333333333335</x:v>
      </x:c>
      <x:c r="J6" s="80" t="n">
        <x:f>IF(OR(F6="Default",F6="Included",F6="Affection Gift"),0,ROUND(H6*I6,0))</x:f>
        <x:v>0</x:v>
      </x:c>
      <x:c r="K6" s="104" t="n">
        <x:f>IF(C6=0,0,C6/AVERAGE('Recipes'!$L$5:$L$7))</x:f>
        <x:v>0</x:v>
      </x:c>
      <x:c r="L6" s="104" t="n">
        <x:f>IF(J6=0,0,J6/I6)</x:f>
        <x:v>0</x:v>
      </x:c>
    </x:row>
    <x:row r="7">
      <x:c r="A7" s="89" t="str">
        <x:v>coffee_table_basic</x:v>
      </x:c>
      <x:c r="B7" s="89" t="str">
        <x:v>小さな茶卓</x:v>
      </x:c>
      <x:c r="C7" s="89" t="n">
        <x:v>4</x:v>
      </x:c>
      <x:c r="D7" s="89" t="n">
        <x:v>1</x:v>
      </x:c>
      <x:c r="E7" s="103" t="b">
        <x:v>0</x:v>
      </x:c>
      <x:c r="F7" s="89" t="str">
        <x:v>Faith</x:v>
      </x:c>
      <x:c r="G7" s="89" t="str"/>
      <x:c r="H7" s="89" t="n">
        <x:v>3</x:v>
      </x:c>
      <x:c r="I7" s="80" t="n">
        <x:f>AVERAGE('Recipes'!$N$5:$N$7)</x:f>
        <x:v>3.3333333333333335</x:v>
      </x:c>
      <x:c r="J7" s="80" t="n">
        <x:f>IF(OR(F7="Default",F7="Included",F7="Affection Gift"),0,ROUND(H7*I7,0))</x:f>
        <x:v>10</x:v>
      </x:c>
      <x:c r="K7" s="104" t="n">
        <x:f>IF(C7=0,0,C7/AVERAGE('Recipes'!$L$5:$L$7))</x:f>
        <x:v>1.3333333333333333</x:v>
      </x:c>
      <x:c r="L7" s="104" t="n">
        <x:f>IF(J7=0,0,J7/I7)</x:f>
        <x:v>3</x:v>
      </x:c>
    </x:row>
    <x:row r="8">
      <x:c r="A8" s="89" t="str">
        <x:v>sofa_front</x:v>
      </x:c>
      <x:c r="B8" s="89" t="str">
        <x:v>ソファセット</x:v>
      </x:c>
      <x:c r="C8" s="89" t="n">
        <x:v>6</x:v>
      </x:c>
      <x:c r="D8" s="89" t="n">
        <x:v>2</x:v>
      </x:c>
      <x:c r="E8" s="103" t="b">
        <x:v>0</x:v>
      </x:c>
      <x:c r="F8" s="89" t="str">
        <x:v>Bundle Purchase</x:v>
      </x:c>
      <x:c r="G8" s="89" t="str">
        <x:v>sofa_set</x:v>
      </x:c>
      <x:c r="H8" s="89" t="n">
        <x:v>6</x:v>
      </x:c>
      <x:c r="I8" s="80" t="n">
        <x:f>AVERAGE('Recipes'!$N$5:$N$7)</x:f>
        <x:v>3.3333333333333335</x:v>
      </x:c>
      <x:c r="J8" s="80" t="n">
        <x:f>IF(OR(F8="Default",F8="Included",F8="Affection Gift"),0,ROUND(H8*I8,0))</x:f>
        <x:v>20</x:v>
      </x:c>
      <x:c r="K8" s="104" t="n">
        <x:f>IF(C8=0,0,C8/AVERAGE('Recipes'!$L$5:$L$7))</x:f>
        <x:v>2</x:v>
      </x:c>
      <x:c r="L8" s="104" t="n">
        <x:f>IF(J8=0,0,J8/I8)</x:f>
        <x:v>6</x:v>
      </x:c>
    </x:row>
    <x:row r="9">
      <x:c r="A9" s="89" t="str">
        <x:v>sofa_back</x:v>
      </x:c>
      <x:c r="B9" s="89" t="str">
        <x:v>ソファ奥</x:v>
      </x:c>
      <x:c r="C9" s="89" t="n">
        <x:v>6</x:v>
      </x:c>
      <x:c r="D9" s="89" t="n">
        <x:v>2</x:v>
      </x:c>
      <x:c r="E9" s="103" t="b">
        <x:v>0</x:v>
      </x:c>
      <x:c r="F9" s="89" t="str">
        <x:v>Included</x:v>
      </x:c>
      <x:c r="G9" s="89" t="str">
        <x:v>sofa_set</x:v>
      </x:c>
      <x:c r="H9" s="89" t="n">
        <x:v>0</x:v>
      </x:c>
      <x:c r="I9" s="80" t="n">
        <x:f>AVERAGE('Recipes'!$N$5:$N$7)</x:f>
        <x:v>3.3333333333333335</x:v>
      </x:c>
      <x:c r="J9" s="80" t="n">
        <x:f>IF(OR(F9="Default",F9="Included",F9="Affection Gift"),0,ROUND(H9*I9,0))</x:f>
        <x:v>0</x:v>
      </x:c>
      <x:c r="K9" s="104" t="n">
        <x:f>IF(C9=0,0,C9/AVERAGE('Recipes'!$L$5:$L$7))</x:f>
        <x:v>2</x:v>
      </x:c>
      <x:c r="L9" s="104" t="n">
        <x:f>IF(J9=0,0,J9/I9)</x:f>
        <x:v>0</x:v>
      </x:c>
    </x:row>
    <x:row r="10">
      <x:c r="A10" s="89" t="str">
        <x:v>sofa_left</x:v>
      </x:c>
      <x:c r="B10" s="89" t="str">
        <x:v>ソファ左</x:v>
      </x:c>
      <x:c r="C10" s="89" t="n">
        <x:v>6</x:v>
      </x:c>
      <x:c r="D10" s="89" t="n">
        <x:v>2</x:v>
      </x:c>
      <x:c r="E10" s="103" t="b">
        <x:v>0</x:v>
      </x:c>
      <x:c r="F10" s="89" t="str">
        <x:v>Included</x:v>
      </x:c>
      <x:c r="G10" s="89" t="str">
        <x:v>sofa_set</x:v>
      </x:c>
      <x:c r="H10" s="89" t="n">
        <x:v>0</x:v>
      </x:c>
      <x:c r="I10" s="80" t="n">
        <x:f>AVERAGE('Recipes'!$N$5:$N$7)</x:f>
        <x:v>3.3333333333333335</x:v>
      </x:c>
      <x:c r="J10" s="80" t="n">
        <x:f>IF(OR(F10="Default",F10="Included",F10="Affection Gift"),0,ROUND(H10*I10,0))</x:f>
        <x:v>0</x:v>
      </x:c>
      <x:c r="K10" s="104" t="n">
        <x:f>IF(C10=0,0,C10/AVERAGE('Recipes'!$L$5:$L$7))</x:f>
        <x:v>2</x:v>
      </x:c>
      <x:c r="L10" s="104" t="n">
        <x:f>IF(J10=0,0,J10/I10)</x:f>
        <x:v>0</x:v>
      </x:c>
    </x:row>
    <x:row r="11">
      <x:c r="A11" s="89" t="str">
        <x:v>sofa_right</x:v>
      </x:c>
      <x:c r="B11" s="89" t="str">
        <x:v>ソファ右</x:v>
      </x:c>
      <x:c r="C11" s="89" t="n">
        <x:v>6</x:v>
      </x:c>
      <x:c r="D11" s="89" t="n">
        <x:v>2</x:v>
      </x:c>
      <x:c r="E11" s="103" t="b">
        <x:v>0</x:v>
      </x:c>
      <x:c r="F11" s="89" t="str">
        <x:v>Included</x:v>
      </x:c>
      <x:c r="G11" s="89" t="str">
        <x:v>sofa_set</x:v>
      </x:c>
      <x:c r="H11" s="89" t="n">
        <x:v>0</x:v>
      </x:c>
      <x:c r="I11" s="80" t="n">
        <x:f>AVERAGE('Recipes'!$N$5:$N$7)</x:f>
        <x:v>3.3333333333333335</x:v>
      </x:c>
      <x:c r="J11" s="80" t="n">
        <x:f>IF(OR(F11="Default",F11="Included",F11="Affection Gift"),0,ROUND(H11*I11,0))</x:f>
        <x:v>0</x:v>
      </x:c>
      <x:c r="K11" s="104" t="n">
        <x:f>IF(C11=0,0,C11/AVERAGE('Recipes'!$L$5:$L$7))</x:f>
        <x:v>2</x:v>
      </x:c>
      <x:c r="L11" s="104" t="n">
        <x:f>IF(J11=0,0,J11/I11)</x:f>
        <x:v>0</x:v>
      </x:c>
    </x:row>
    <x:row r="12">
      <x:c r="A12" s="89" t="str">
        <x:v>wall_menu_board</x:v>
      </x:c>
      <x:c r="B12" s="89" t="str">
        <x:v>メニュー黒板</x:v>
      </x:c>
      <x:c r="C12" s="89" t="n">
        <x:v>4</x:v>
      </x:c>
      <x:c r="D12" s="89" t="n">
        <x:v>1</x:v>
      </x:c>
      <x:c r="E12" s="103" t="b">
        <x:v>0</x:v>
      </x:c>
      <x:c r="F12" s="89" t="str">
        <x:v>Faith</x:v>
      </x:c>
      <x:c r="G12" s="89" t="str"/>
      <x:c r="H12" s="89" t="n">
        <x:v>3</x:v>
      </x:c>
      <x:c r="I12" s="80" t="n">
        <x:f>AVERAGE('Recipes'!$N$5:$N$7)</x:f>
        <x:v>3.3333333333333335</x:v>
      </x:c>
      <x:c r="J12" s="80" t="n">
        <x:f>IF(OR(F12="Default",F12="Included",F12="Affection Gift"),0,ROUND(H12*I12,0))</x:f>
        <x:v>10</x:v>
      </x:c>
      <x:c r="K12" s="104" t="n">
        <x:f>IF(C12=0,0,C12/AVERAGE('Recipes'!$L$5:$L$7))</x:f>
        <x:v>1.3333333333333333</x:v>
      </x:c>
      <x:c r="L12" s="104" t="n">
        <x:f>IF(J12=0,0,J12/I12)</x:f>
        <x:v>3</x:v>
      </x:c>
    </x:row>
    <x:row r="13">
      <x:c r="A13" s="89" t="str">
        <x:v>potted_plant</x:v>
      </x:c>
      <x:c r="B13" s="89" t="str">
        <x:v>観葉植物</x:v>
      </x:c>
      <x:c r="C13" s="89" t="n">
        <x:v>3</x:v>
      </x:c>
      <x:c r="D13" s="89" t="n">
        <x:v>1</x:v>
      </x:c>
      <x:c r="E13" s="103" t="b">
        <x:v>0</x:v>
      </x:c>
      <x:c r="F13" s="89" t="str">
        <x:v>Affection Gift</x:v>
      </x:c>
      <x:c r="G13" s="89" t="str">
        <x:v>office_worker Lv5</x:v>
      </x:c>
      <x:c r="H13" s="89" t="n">
        <x:v>0</x:v>
      </x:c>
      <x:c r="I13" s="80" t="n">
        <x:f>AVERAGE('Recipes'!$N$5:$N$7)</x:f>
        <x:v>3.3333333333333335</x:v>
      </x:c>
      <x:c r="J13" s="80" t="n">
        <x:f>IF(OR(F13="Default",F13="Included",F13="Affection Gift"),0,ROUND(H13*I13,0))</x:f>
        <x:v>0</x:v>
      </x:c>
      <x:c r="K13" s="104" t="n">
        <x:f>IF(C13=0,0,C13/AVERAGE('Recipes'!$L$5:$L$7))</x:f>
        <x:v>1</x:v>
      </x:c>
      <x:c r="L13" s="104" t="n">
        <x:f>IF(J13=0,0,J13/I13)</x:f>
        <x:v>0</x:v>
      </x:c>
    </x:row>
    <x:row r="14">
      <x:c r="A14" s="89" t="str">
        <x:v>dessert_counter</x:v>
      </x:c>
      <x:c r="B14" s="89" t="str">
        <x:v>菓子ケース</x:v>
      </x:c>
      <x:c r="C14" s="89" t="n">
        <x:v>6</x:v>
      </x:c>
      <x:c r="D14" s="89" t="n">
        <x:v>2</x:v>
      </x:c>
      <x:c r="E14" s="103" t="b">
        <x:v>0</x:v>
      </x:c>
      <x:c r="F14" s="89" t="str">
        <x:v>Functional</x:v>
      </x:c>
      <x:c r="G14" s="89" t="str"/>
      <x:c r="H14" s="89" t="n">
        <x:v>8</x:v>
      </x:c>
      <x:c r="I14" s="80" t="n">
        <x:f>AVERAGE('Recipes'!$N$5:$N$7)</x:f>
        <x:v>3.3333333333333335</x:v>
      </x:c>
      <x:c r="J14" s="80" t="n">
        <x:f>IF(OR(F14="Default",F14="Included",F14="Affection Gift"),0,ROUND(H14*I14,0))</x:f>
        <x:v>27</x:v>
      </x:c>
      <x:c r="K14" s="104" t="n">
        <x:f>IF(C14=0,0,C14/AVERAGE('Recipes'!$L$5:$L$7))</x:f>
        <x:v>2</x:v>
      </x:c>
      <x:c r="L14" s="104" t="n">
        <x:f>IF(J14=0,0,J14/I14)</x:f>
        <x:v>8.1</x:v>
      </x:c>
    </x:row>
    <x:row r="15">
      <x:c r="A15" s="89" t="str">
        <x:v>storage_shelf</x:v>
      </x:c>
      <x:c r="B15" s="89" t="str">
        <x:v>材料棚</x:v>
      </x:c>
      <x:c r="C15" s="89" t="n">
        <x:v>7</x:v>
      </x:c>
      <x:c r="D15" s="89" t="n">
        <x:v>2</x:v>
      </x:c>
      <x:c r="E15" s="103" t="b">
        <x:v>0</x:v>
      </x:c>
      <x:c r="F15" s="89" t="str">
        <x:v>Functional</x:v>
      </x:c>
      <x:c r="G15" s="89" t="str"/>
      <x:c r="H15" s="89" t="n">
        <x:v>8</x:v>
      </x:c>
      <x:c r="I15" s="80" t="n">
        <x:f>AVERAGE('Recipes'!$N$5:$N$7)</x:f>
        <x:v>3.3333333333333335</x:v>
      </x:c>
      <x:c r="J15" s="80" t="n">
        <x:f>IF(OR(F15="Default",F15="Included",F15="Affection Gift"),0,ROUND(H15*I15,0))</x:f>
        <x:v>27</x:v>
      </x:c>
      <x:c r="K15" s="104" t="n">
        <x:f>IF(C15=0,0,C15/AVERAGE('Recipes'!$L$5:$L$7))</x:f>
        <x:v>2.3333333333333335</x:v>
      </x:c>
      <x:c r="L15" s="104" t="n">
        <x:f>IF(J15=0,0,J15/I15)</x:f>
        <x:v>8.1</x:v>
      </x:c>
    </x:row>
    <x:row r="16">
      <x:c r="A16" s="89" t="str">
        <x:v>table_two_cushions</x:v>
      </x:c>
      <x:c r="B16" s="89" t="str">
        <x:v>二人用座卓</x:v>
      </x:c>
      <x:c r="C16" s="89" t="n">
        <x:v>7</x:v>
      </x:c>
      <x:c r="D16" s="89" t="n">
        <x:v>2</x:v>
      </x:c>
      <x:c r="E16" s="103" t="b">
        <x:v>0</x:v>
      </x:c>
      <x:c r="F16" s="89" t="str">
        <x:v>Affection Gift</x:v>
      </x:c>
      <x:c r="G16" s="89" t="str">
        <x:v>kimono_girl Lv5</x:v>
      </x:c>
      <x:c r="H16" s="89" t="n">
        <x:v>0</x:v>
      </x:c>
      <x:c r="I16" s="80" t="n">
        <x:f>AVERAGE('Recipes'!$N$5:$N$7)</x:f>
        <x:v>3.3333333333333335</x:v>
      </x:c>
      <x:c r="J16" s="80" t="n">
        <x:f>IF(OR(F16="Default",F16="Included",F16="Affection Gift"),0,ROUND(H16*I16,0))</x:f>
        <x:v>0</x:v>
      </x:c>
      <x:c r="K16" s="104" t="n">
        <x:f>IF(C16=0,0,C16/AVERAGE('Recipes'!$L$5:$L$7))</x:f>
        <x:v>2.3333333333333335</x:v>
      </x:c>
      <x:c r="L16" s="104" t="n">
        <x:f>IF(J16=0,0,J16/I16)</x:f>
        <x:v>0</x:v>
      </x:c>
    </x:row>
    <x:row r="17">
      <x:c r="A17" s="91" t="str">
        <x:v>tatami_table_set</x:v>
      </x:c>
      <x:c r="B17" s="91" t="str">
        <x:v>畳の小席</x:v>
      </x:c>
      <x:c r="C17" s="91" t="n">
        <x:v>8</x:v>
      </x:c>
      <x:c r="D17" s="91" t="n">
        <x:v>2</x:v>
      </x:c>
      <x:c r="E17" s="105" t="b">
        <x:v>0</x:v>
      </x:c>
      <x:c r="F17" s="91" t="str">
        <x:v>Signature Faith</x:v>
      </x:c>
      <x:c r="G17" s="91" t="str"/>
      <x:c r="H17" s="91" t="n">
        <x:v>12</x:v>
      </x:c>
      <x:c r="I17" s="100" t="n">
        <x:f>AVERAGE('Recipes'!$N$5:$N$7)</x:f>
        <x:v>3.3333333333333335</x:v>
      </x:c>
      <x:c r="J17" s="100" t="n">
        <x:f>IF(OR(F17="Default",F17="Included",F17="Affection Gift"),0,ROUND(H17*I17,0))</x:f>
        <x:v>40</x:v>
      </x:c>
      <x:c r="K17" s="106" t="n">
        <x:f>IF(C17=0,0,C17/AVERAGE('Recipes'!$L$5:$L$7))</x:f>
        <x:v>2.6666666666666665</x:v>
      </x:c>
      <x:c r="L17" s="106" t="n">
        <x:f>IF(J17=0,0,J17/I17)</x:f>
        <x:v>12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32" customHeight="1">
      <x:c r="A1" s="93" t="str">
        <x:v>Visitor Affection And Message Coverage</x:v>
      </x:c>
      <x:c r="B1" s="93"/>
      <x:c r="C1" s="93"/>
      <x:c r="D1" s="93"/>
      <x:c r="E1" s="93"/>
      <x:c r="F1" s="93"/>
      <x:c r="G1" s="93"/>
      <x:c r="H1" s="93"/>
      <x:c r="I1" s="93"/>
      <x:c r="J1" s="93"/>
      <x:c r="K1" s="93"/>
      <x:c r="L1" s="93"/>
      <x:c r="M1" s="93"/>
      <x:c r="N1" s="93"/>
      <x:c r="O1" s="93"/>
      <x:c r="P1" s="93"/>
      <x:c r="Q1" s="93"/>
    </x:row>
    <x:row r="2" ht="28" customHeight="1">
      <x:c r="A2" s="8" t="str">
        <x:v>V1: every correct service gives +1 affection; a favorite request gives another +1. This produces visible progress without making favorite moments meaningless.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</x:row>
    <x:row r="3">
      <x:c r="A3" s="75"/>
      <x:c r="B3" s="75"/>
      <x:c r="C3" s="75"/>
      <x:c r="D3" s="75"/>
      <x:c r="E3" s="75"/>
      <x:c r="F3" s="75"/>
      <x:c r="G3" s="75"/>
      <x:c r="H3" s="75"/>
      <x:c r="I3" s="75"/>
      <x:c r="J3" s="75"/>
      <x:c r="K3" s="75"/>
      <x:c r="L3" s="75"/>
      <x:c r="M3" s="75"/>
      <x:c r="N3" s="75"/>
      <x:c r="O3" s="75"/>
      <x:c r="P3" s="75"/>
      <x:c r="Q3" s="75"/>
    </x:row>
    <x:row r="4" ht="30" customHeight="1">
      <x:c r="A4" s="19" t="str">
        <x:v>Visitor ID</x:v>
      </x:c>
      <x:c r="B4" s="20" t="str">
        <x:v>Display Name</x:v>
      </x:c>
      <x:c r="C4" s="20" t="str">
        <x:v>Weight</x:v>
      </x:c>
      <x:c r="D4" s="20" t="str">
        <x:v>Current Msg</x:v>
      </x:c>
      <x:c r="E4" s="20" t="str">
        <x:v>Normal Target</x:v>
      </x:c>
      <x:c r="F4" s="20" t="str">
        <x:v>Favorite Target</x:v>
      </x:c>
      <x:c r="G4" s="20" t="str">
        <x:v>Milestone Target</x:v>
      </x:c>
      <x:c r="H4" s="20" t="str">
        <x:v>V1 Total</x:v>
      </x:c>
      <x:c r="I4" s="20" t="str">
        <x:v>Message Gap</x:v>
      </x:c>
      <x:c r="J4" s="20" t="str">
        <x:v>Current Affection / Visit</x:v>
      </x:c>
      <x:c r="K4" s="20" t="str">
        <x:v>V1 Affection / Visit</x:v>
      </x:c>
      <x:c r="L4" s="20" t="str">
        <x:v>Milestone 1</x:v>
      </x:c>
      <x:c r="M4" s="20" t="str">
        <x:v>Visits to M1</x:v>
      </x:c>
      <x:c r="N4" s="20" t="str">
        <x:v>Milestone 2</x:v>
      </x:c>
      <x:c r="O4" s="20" t="str">
        <x:v>Visits to M2</x:v>
      </x:c>
      <x:c r="P4" s="20" t="str">
        <x:v>Milestone 3</x:v>
      </x:c>
      <x:c r="Q4" s="21" t="str">
        <x:v>Visits to M3</x:v>
      </x:c>
    </x:row>
    <x:row r="5">
      <x:c r="A5" s="92" t="str">
        <x:v>elder_woman_worshipper</x:v>
      </x:c>
      <x:c r="B5" s="92" t="str">
        <x:v>年配の参拝者</x:v>
      </x:c>
      <x:c r="C5" s="92" t="n">
        <x:v>30</x:v>
      </x:c>
      <x:c r="D5" s="92" t="n">
        <x:v>2</x:v>
      </x:c>
      <x:c r="E5" s="92" t="n">
        <x:v>4</x:v>
      </x:c>
      <x:c r="F5" s="92" t="n">
        <x:v>1</x:v>
      </x:c>
      <x:c r="G5" s="92" t="n">
        <x:v>1</x:v>
      </x:c>
      <x:c r="H5" s="77" t="n">
        <x:f>SUM(E5:G5)</x:f>
        <x:v>6</x:v>
      </x:c>
      <x:c r="I5" s="77" t="n">
        <x:f>H5-D5</x:f>
        <x:v>4</x:v>
      </x:c>
      <x:c r="J5" s="107" t="n">
        <x:f>'Assumptions'!$B$10*'Assumptions'!$B$12</x:f>
        <x:v>0.3333333333333333</x:v>
      </x:c>
      <x:c r="K5" s="107" t="n">
        <x:f>'Assumptions'!$C$11+'Assumptions'!$C$10*'Assumptions'!$C$12</x:f>
        <x:v>1.3333333333333333</x:v>
      </x:c>
      <x:c r="L5" s="77" t="n">
        <x:v>2</x:v>
      </x:c>
      <x:c r="M5" s="102" t="n">
        <x:f>L5/K5</x:f>
        <x:v>1.5</x:v>
      </x:c>
      <x:c r="N5" s="102" t="n">
        <x:v>5</x:v>
      </x:c>
      <x:c r="O5" s="102" t="n">
        <x:f>N5/K5</x:f>
        <x:v>3.75</x:v>
      </x:c>
      <x:c r="P5" s="108" t="n">
        <x:v>9</x:v>
      </x:c>
      <x:c r="Q5" s="102" t="n">
        <x:f>P5/K5</x:f>
        <x:v>6.75</x:v>
      </x:c>
    </x:row>
    <x:row r="6">
      <x:c r="A6" s="89" t="str">
        <x:v>foreign_backpacker</x:v>
      </x:c>
      <x:c r="B6" s="89" t="str">
        <x:v>異国の旅人</x:v>
      </x:c>
      <x:c r="C6" s="89" t="n">
        <x:v>26</x:v>
      </x:c>
      <x:c r="D6" s="89" t="n">
        <x:v>2</x:v>
      </x:c>
      <x:c r="E6" s="89" t="n">
        <x:v>4</x:v>
      </x:c>
      <x:c r="F6" s="89" t="n">
        <x:v>1</x:v>
      </x:c>
      <x:c r="G6" s="89" t="n">
        <x:v>1</x:v>
      </x:c>
      <x:c r="H6" s="80" t="n">
        <x:f>SUM(E6:G6)</x:f>
        <x:v>6</x:v>
      </x:c>
      <x:c r="I6" s="80" t="n">
        <x:f>H6-D6</x:f>
        <x:v>4</x:v>
      </x:c>
      <x:c r="J6" s="109" t="n">
        <x:f>'Assumptions'!$B$10*'Assumptions'!$B$12</x:f>
        <x:v>0.3333333333333333</x:v>
      </x:c>
      <x:c r="K6" s="109" t="n">
        <x:f>'Assumptions'!$C$11+'Assumptions'!$C$10*'Assumptions'!$C$12</x:f>
        <x:v>1.3333333333333333</x:v>
      </x:c>
      <x:c r="L6" s="80" t="n">
        <x:v>2</x:v>
      </x:c>
      <x:c r="M6" s="104" t="n">
        <x:f>L6/K6</x:f>
        <x:v>1.5</x:v>
      </x:c>
      <x:c r="N6" s="104" t="n">
        <x:v>5</x:v>
      </x:c>
      <x:c r="O6" s="104" t="n">
        <x:f>N6/K6</x:f>
        <x:v>3.75</x:v>
      </x:c>
      <x:c r="P6" s="110" t="n">
        <x:v>9</x:v>
      </x:c>
      <x:c r="Q6" s="104" t="n">
        <x:f>P6/K6</x:f>
        <x:v>6.75</x:v>
      </x:c>
    </x:row>
    <x:row r="7">
      <x:c r="A7" s="89" t="str">
        <x:v>nekomata_orange_cat</x:v>
      </x:c>
      <x:c r="B7" s="89" t="str">
        <x:v>橙の猫又</x:v>
      </x:c>
      <x:c r="C7" s="89" t="n">
        <x:v>24</x:v>
      </x:c>
      <x:c r="D7" s="89" t="n">
        <x:v>2</x:v>
      </x:c>
      <x:c r="E7" s="89" t="n">
        <x:v>4</x:v>
      </x:c>
      <x:c r="F7" s="89" t="n">
        <x:v>1</x:v>
      </x:c>
      <x:c r="G7" s="89" t="n">
        <x:v>1</x:v>
      </x:c>
      <x:c r="H7" s="80" t="n">
        <x:f>SUM(E7:G7)</x:f>
        <x:v>6</x:v>
      </x:c>
      <x:c r="I7" s="80" t="n">
        <x:f>H7-D7</x:f>
        <x:v>4</x:v>
      </x:c>
      <x:c r="J7" s="109" t="n">
        <x:f>'Assumptions'!$B$10*'Assumptions'!$B$12</x:f>
        <x:v>0.3333333333333333</x:v>
      </x:c>
      <x:c r="K7" s="109" t="n">
        <x:f>'Assumptions'!$C$11+'Assumptions'!$C$10*'Assumptions'!$C$12</x:f>
        <x:v>1.3333333333333333</x:v>
      </x:c>
      <x:c r="L7" s="80" t="n">
        <x:v>2</x:v>
      </x:c>
      <x:c r="M7" s="104" t="n">
        <x:f>L7/K7</x:f>
        <x:v>1.5</x:v>
      </x:c>
      <x:c r="N7" s="104" t="n">
        <x:v>5</x:v>
      </x:c>
      <x:c r="O7" s="104" t="n">
        <x:f>N7/K7</x:f>
        <x:v>3.75</x:v>
      </x:c>
      <x:c r="P7" s="110" t="n">
        <x:v>9</x:v>
      </x:c>
      <x:c r="Q7" s="104" t="n">
        <x:f>P7/K7</x:f>
        <x:v>6.75</x:v>
      </x:c>
    </x:row>
    <x:row r="8">
      <x:c r="A8" s="89" t="str">
        <x:v>small_ghost</x:v>
      </x:c>
      <x:c r="B8" s="89" t="str">
        <x:v>小さな幽霊</x:v>
      </x:c>
      <x:c r="C8" s="89" t="n">
        <x:v>22</x:v>
      </x:c>
      <x:c r="D8" s="89" t="n">
        <x:v>2</x:v>
      </x:c>
      <x:c r="E8" s="89" t="n">
        <x:v>4</x:v>
      </x:c>
      <x:c r="F8" s="89" t="n">
        <x:v>1</x:v>
      </x:c>
      <x:c r="G8" s="89" t="n">
        <x:v>1</x:v>
      </x:c>
      <x:c r="H8" s="80" t="n">
        <x:f>SUM(E8:G8)</x:f>
        <x:v>6</x:v>
      </x:c>
      <x:c r="I8" s="80" t="n">
        <x:f>H8-D8</x:f>
        <x:v>4</x:v>
      </x:c>
      <x:c r="J8" s="109" t="n">
        <x:f>'Assumptions'!$B$10*'Assumptions'!$B$12</x:f>
        <x:v>0.3333333333333333</x:v>
      </x:c>
      <x:c r="K8" s="109" t="n">
        <x:f>'Assumptions'!$C$11+'Assumptions'!$C$10*'Assumptions'!$C$12</x:f>
        <x:v>1.3333333333333333</x:v>
      </x:c>
      <x:c r="L8" s="80" t="n">
        <x:v>2</x:v>
      </x:c>
      <x:c r="M8" s="104" t="n">
        <x:f>L8/K8</x:f>
        <x:v>1.5</x:v>
      </x:c>
      <x:c r="N8" s="104" t="n">
        <x:v>5</x:v>
      </x:c>
      <x:c r="O8" s="104" t="n">
        <x:f>N8/K8</x:f>
        <x:v>3.75</x:v>
      </x:c>
      <x:c r="P8" s="110" t="n">
        <x:v>9</x:v>
      </x:c>
      <x:c r="Q8" s="104" t="n">
        <x:f>P8/K8</x:f>
        <x:v>6.75</x:v>
      </x:c>
    </x:row>
    <x:row r="9">
      <x:c r="A9" s="89" t="str">
        <x:v>student_girl_uniform</x:v>
      </x:c>
      <x:c r="B9" s="89" t="str">
        <x:v>制服の学生</x:v>
      </x:c>
      <x:c r="C9" s="89" t="n">
        <x:v>14</x:v>
      </x:c>
      <x:c r="D9" s="89" t="n">
        <x:v>2</x:v>
      </x:c>
      <x:c r="E9" s="89" t="n">
        <x:v>4</x:v>
      </x:c>
      <x:c r="F9" s="89" t="n">
        <x:v>1</x:v>
      </x:c>
      <x:c r="G9" s="89" t="n">
        <x:v>1</x:v>
      </x:c>
      <x:c r="H9" s="80" t="n">
        <x:f>SUM(E9:G9)</x:f>
        <x:v>6</x:v>
      </x:c>
      <x:c r="I9" s="80" t="n">
        <x:f>H9-D9</x:f>
        <x:v>4</x:v>
      </x:c>
      <x:c r="J9" s="109" t="n">
        <x:f>'Assumptions'!$B$10*'Assumptions'!$B$12</x:f>
        <x:v>0.3333333333333333</x:v>
      </x:c>
      <x:c r="K9" s="109" t="n">
        <x:f>'Assumptions'!$C$11+'Assumptions'!$C$10*'Assumptions'!$C$12</x:f>
        <x:v>1.3333333333333333</x:v>
      </x:c>
      <x:c r="L9" s="80" t="n">
        <x:v>2</x:v>
      </x:c>
      <x:c r="M9" s="104" t="n">
        <x:f>L9/K9</x:f>
        <x:v>1.5</x:v>
      </x:c>
      <x:c r="N9" s="104" t="n">
        <x:v>5</x:v>
      </x:c>
      <x:c r="O9" s="104" t="n">
        <x:f>N9/K9</x:f>
        <x:v>3.75</x:v>
      </x:c>
      <x:c r="P9" s="110" t="n">
        <x:v>9</x:v>
      </x:c>
      <x:c r="Q9" s="104" t="n">
        <x:f>P9/K9</x:f>
        <x:v>6.75</x:v>
      </x:c>
    </x:row>
    <x:row r="10">
      <x:c r="A10" s="89" t="str">
        <x:v>tanuki_yokai</x:v>
      </x:c>
      <x:c r="B10" s="89" t="str">
        <x:v>たぬき妖怪</x:v>
      </x:c>
      <x:c r="C10" s="89" t="n">
        <x:v>18</x:v>
      </x:c>
      <x:c r="D10" s="89" t="n">
        <x:v>2</x:v>
      </x:c>
      <x:c r="E10" s="89" t="n">
        <x:v>4</x:v>
      </x:c>
      <x:c r="F10" s="89" t="n">
        <x:v>1</x:v>
      </x:c>
      <x:c r="G10" s="89" t="n">
        <x:v>1</x:v>
      </x:c>
      <x:c r="H10" s="80" t="n">
        <x:f>SUM(E10:G10)</x:f>
        <x:v>6</x:v>
      </x:c>
      <x:c r="I10" s="80" t="n">
        <x:f>H10-D10</x:f>
        <x:v>4</x:v>
      </x:c>
      <x:c r="J10" s="109" t="n">
        <x:f>'Assumptions'!$B$10*'Assumptions'!$B$12</x:f>
        <x:v>0.3333333333333333</x:v>
      </x:c>
      <x:c r="K10" s="109" t="n">
        <x:f>'Assumptions'!$C$11+'Assumptions'!$C$10*'Assumptions'!$C$12</x:f>
        <x:v>1.3333333333333333</x:v>
      </x:c>
      <x:c r="L10" s="80" t="n">
        <x:v>2</x:v>
      </x:c>
      <x:c r="M10" s="104" t="n">
        <x:f>L10/K10</x:f>
        <x:v>1.5</x:v>
      </x:c>
      <x:c r="N10" s="104" t="n">
        <x:v>5</x:v>
      </x:c>
      <x:c r="O10" s="104" t="n">
        <x:f>N10/K10</x:f>
        <x:v>3.75</x:v>
      </x:c>
      <x:c r="P10" s="110" t="n">
        <x:v>9</x:v>
      </x:c>
      <x:c r="Q10" s="104" t="n">
        <x:f>P10/K10</x:f>
        <x:v>6.75</x:v>
      </x:c>
    </x:row>
    <x:row r="11">
      <x:c r="A11" s="89" t="str">
        <x:v>girl_kimono</x:v>
      </x:c>
      <x:c r="B11" s="89" t="str">
        <x:v>着物の女の子</x:v>
      </x:c>
      <x:c r="C11" s="89" t="n">
        <x:v>12</x:v>
      </x:c>
      <x:c r="D11" s="89" t="n">
        <x:v>2</x:v>
      </x:c>
      <x:c r="E11" s="89" t="n">
        <x:v>4</x:v>
      </x:c>
      <x:c r="F11" s="89" t="n">
        <x:v>1</x:v>
      </x:c>
      <x:c r="G11" s="89" t="n">
        <x:v>1</x:v>
      </x:c>
      <x:c r="H11" s="80" t="n">
        <x:f>SUM(E11:G11)</x:f>
        <x:v>6</x:v>
      </x:c>
      <x:c r="I11" s="80" t="n">
        <x:f>H11-D11</x:f>
        <x:v>4</x:v>
      </x:c>
      <x:c r="J11" s="109" t="n">
        <x:f>'Assumptions'!$B$10*'Assumptions'!$B$12</x:f>
        <x:v>0.3333333333333333</x:v>
      </x:c>
      <x:c r="K11" s="109" t="n">
        <x:f>'Assumptions'!$C$11+'Assumptions'!$C$10*'Assumptions'!$C$12</x:f>
        <x:v>1.3333333333333333</x:v>
      </x:c>
      <x:c r="L11" s="80" t="n">
        <x:v>2</x:v>
      </x:c>
      <x:c r="M11" s="104" t="n">
        <x:f>L11/K11</x:f>
        <x:v>1.5</x:v>
      </x:c>
      <x:c r="N11" s="104" t="n">
        <x:v>5</x:v>
      </x:c>
      <x:c r="O11" s="104" t="n">
        <x:f>N11/K11</x:f>
        <x:v>3.75</x:v>
      </x:c>
      <x:c r="P11" s="110" t="n">
        <x:v>9</x:v>
      </x:c>
      <x:c r="Q11" s="104" t="n">
        <x:f>P11/K11</x:f>
        <x:v>6.75</x:v>
      </x:c>
    </x:row>
    <x:row r="12">
      <x:c r="A12" s="89" t="str">
        <x:v>child_girl_kimono</x:v>
      </x:c>
      <x:c r="B12" s="89" t="str">
        <x:v>小さな参拝客</x:v>
      </x:c>
      <x:c r="C12" s="89" t="n">
        <x:v>12</x:v>
      </x:c>
      <x:c r="D12" s="89" t="n">
        <x:v>2</x:v>
      </x:c>
      <x:c r="E12" s="89" t="n">
        <x:v>4</x:v>
      </x:c>
      <x:c r="F12" s="89" t="n">
        <x:v>1</x:v>
      </x:c>
      <x:c r="G12" s="89" t="n">
        <x:v>1</x:v>
      </x:c>
      <x:c r="H12" s="80" t="n">
        <x:f>SUM(E12:G12)</x:f>
        <x:v>6</x:v>
      </x:c>
      <x:c r="I12" s="80" t="n">
        <x:f>H12-D12</x:f>
        <x:v>4</x:v>
      </x:c>
      <x:c r="J12" s="109" t="n">
        <x:f>'Assumptions'!$B$10*'Assumptions'!$B$12</x:f>
        <x:v>0.3333333333333333</x:v>
      </x:c>
      <x:c r="K12" s="109" t="n">
        <x:f>'Assumptions'!$C$11+'Assumptions'!$C$10*'Assumptions'!$C$12</x:f>
        <x:v>1.3333333333333333</x:v>
      </x:c>
      <x:c r="L12" s="80" t="n">
        <x:v>2</x:v>
      </x:c>
      <x:c r="M12" s="104" t="n">
        <x:f>L12/K12</x:f>
        <x:v>1.5</x:v>
      </x:c>
      <x:c r="N12" s="104" t="n">
        <x:v>5</x:v>
      </x:c>
      <x:c r="O12" s="104" t="n">
        <x:f>N12/K12</x:f>
        <x:v>3.75</x:v>
      </x:c>
      <x:c r="P12" s="110" t="n">
        <x:v>9</x:v>
      </x:c>
      <x:c r="Q12" s="104" t="n">
        <x:f>P12/K12</x:f>
        <x:v>6.75</x:v>
      </x:c>
    </x:row>
    <x:row r="13">
      <x:c r="A13" s="89" t="str">
        <x:v>kappa_yokai</x:v>
      </x:c>
      <x:c r="B13" s="89" t="str">
        <x:v>河童の来訪者</x:v>
      </x:c>
      <x:c r="C13" s="89" t="n">
        <x:v>16</x:v>
      </x:c>
      <x:c r="D13" s="89" t="n">
        <x:v>2</x:v>
      </x:c>
      <x:c r="E13" s="89" t="n">
        <x:v>4</x:v>
      </x:c>
      <x:c r="F13" s="89" t="n">
        <x:v>1</x:v>
      </x:c>
      <x:c r="G13" s="89" t="n">
        <x:v>1</x:v>
      </x:c>
      <x:c r="H13" s="80" t="n">
        <x:f>SUM(E13:G13)</x:f>
        <x:v>6</x:v>
      </x:c>
      <x:c r="I13" s="80" t="n">
        <x:f>H13-D13</x:f>
        <x:v>4</x:v>
      </x:c>
      <x:c r="J13" s="109" t="n">
        <x:f>'Assumptions'!$B$10*'Assumptions'!$B$12</x:f>
        <x:v>0.3333333333333333</x:v>
      </x:c>
      <x:c r="K13" s="109" t="n">
        <x:f>'Assumptions'!$C$11+'Assumptions'!$C$10*'Assumptions'!$C$12</x:f>
        <x:v>1.3333333333333333</x:v>
      </x:c>
      <x:c r="L13" s="80" t="n">
        <x:v>2</x:v>
      </x:c>
      <x:c r="M13" s="104" t="n">
        <x:f>L13/K13</x:f>
        <x:v>1.5</x:v>
      </x:c>
      <x:c r="N13" s="104" t="n">
        <x:v>5</x:v>
      </x:c>
      <x:c r="O13" s="104" t="n">
        <x:f>N13/K13</x:f>
        <x:v>3.75</x:v>
      </x:c>
      <x:c r="P13" s="110" t="n">
        <x:v>9</x:v>
      </x:c>
      <x:c r="Q13" s="104" t="n">
        <x:f>P13/K13</x:f>
        <x:v>6.75</x:v>
      </x:c>
    </x:row>
    <x:row r="14">
      <x:c r="A14" s="91" t="str">
        <x:v>middle_aged_office_worker</x:v>
      </x:c>
      <x:c r="B14" s="91" t="str">
        <x:v>仕事帰りの会社員</x:v>
      </x:c>
      <x:c r="C14" s="91" t="n">
        <x:v>10</x:v>
      </x:c>
      <x:c r="D14" s="91" t="n">
        <x:v>2</x:v>
      </x:c>
      <x:c r="E14" s="91" t="n">
        <x:v>4</x:v>
      </x:c>
      <x:c r="F14" s="91" t="n">
        <x:v>1</x:v>
      </x:c>
      <x:c r="G14" s="91" t="n">
        <x:v>1</x:v>
      </x:c>
      <x:c r="H14" s="100" t="n">
        <x:f>SUM(E14:G14)</x:f>
        <x:v>6</x:v>
      </x:c>
      <x:c r="I14" s="100" t="n">
        <x:f>H14-D14</x:f>
        <x:v>4</x:v>
      </x:c>
      <x:c r="J14" s="83" t="n">
        <x:f>'Assumptions'!$B$10*'Assumptions'!$B$12</x:f>
        <x:v>0.3333333333333333</x:v>
      </x:c>
      <x:c r="K14" s="83" t="n">
        <x:f>'Assumptions'!$C$11+'Assumptions'!$C$10*'Assumptions'!$C$12</x:f>
        <x:v>1.3333333333333333</x:v>
      </x:c>
      <x:c r="L14" s="100" t="n">
        <x:v>2</x:v>
      </x:c>
      <x:c r="M14" s="106" t="n">
        <x:f>L14/K14</x:f>
        <x:v>1.5</x:v>
      </x:c>
      <x:c r="N14" s="106" t="n">
        <x:v>5</x:v>
      </x:c>
      <x:c r="O14" s="106" t="n">
        <x:f>N14/K14</x:f>
        <x:v>3.75</x:v>
      </x:c>
      <x:c r="P14" s="111" t="n">
        <x:v>9</x:v>
      </x:c>
      <x:c r="Q14" s="106" t="n">
        <x:f>P14/K14</x:f>
        <x:v>6.75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8" hidden="0" customWidth="1"/>
  </x:cols>
  <x:sheetData>
    <x:row r="1" ht="32" customHeight="1">
      <x:c r="A1" s="93" t="str">
        <x:v>Progression Pace Checks</x:v>
      </x:c>
      <x:c r="B1" s="93"/>
      <x:c r="C1" s="93"/>
      <x:c r="D1" s="93"/>
      <x:c r="E1" s="93"/>
      <x:c r="F1" s="93"/>
      <x:c r="G1" s="93"/>
      <x:c r="H1" s="93"/>
      <x:c r="I1" s="93"/>
    </x:row>
    <x:row r="2" ht="28" customHeight="1">
      <x:c r="A2" s="8" t="str">
        <x:v>Targets are design hypotheses for a premium PC vertical slice. They must be replaced with observed median times after playtests.</x:v>
      </x:c>
      <x:c r="B2" s="8"/>
      <x:c r="C2" s="8"/>
      <x:c r="D2" s="8"/>
      <x:c r="E2" s="8"/>
      <x:c r="F2" s="8"/>
      <x:c r="G2" s="8"/>
      <x:c r="H2" s="8"/>
      <x:c r="I2" s="8"/>
    </x:row>
    <x:row r="3">
      <x:c r="A3" s="75"/>
      <x:c r="B3" s="75"/>
      <x:c r="C3" s="75"/>
      <x:c r="D3" s="75"/>
      <x:c r="E3" s="75"/>
      <x:c r="F3" s="75"/>
      <x:c r="G3" s="75"/>
      <x:c r="H3" s="75"/>
      <x:c r="I3" s="75"/>
    </x:row>
    <x:row r="4" ht="30" customHeight="1">
      <x:c r="A4" s="19" t="str">
        <x:v>Milestone</x:v>
      </x:c>
      <x:c r="B4" s="20" t="str">
        <x:v>Driver</x:v>
      </x:c>
      <x:c r="C4" s="20" t="str">
        <x:v>Current Threshold</x:v>
      </x:c>
      <x:c r="D4" s="20" t="str">
        <x:v>V1 Threshold</x:v>
      </x:c>
      <x:c r="E4" s="20" t="str">
        <x:v>Current Rate</x:v>
      </x:c>
      <x:c r="F4" s="20" t="str">
        <x:v>V1 Rate</x:v>
      </x:c>
      <x:c r="G4" s="20" t="str">
        <x:v>Current Services / Loops</x:v>
      </x:c>
      <x:c r="H4" s="20" t="str">
        <x:v>V1 Services / Loops</x:v>
      </x:c>
      <x:c r="I4" s="21" t="str">
        <x:v>V1 Target Window</x:v>
      </x:c>
    </x:row>
    <x:row r="5">
      <x:c r="A5" s="76" t="str">
        <x:v>First harvest</x:v>
      </x:c>
      <x:c r="B5" s="76" t="str">
        <x:v>Growth</x:v>
      </x:c>
      <x:c r="C5" s="92" t="n">
        <x:v>45</x:v>
      </x:c>
      <x:c r="D5" s="92" t="n">
        <x:v>1</x:v>
      </x:c>
      <x:c r="E5" s="92" t="n">
        <x:v>45</x:v>
      </x:c>
      <x:c r="F5" s="92" t="n">
        <x:v>1</x:v>
      </x:c>
      <x:c r="G5" s="102" t="n">
        <x:f>IF(E5=0,"",C5/E5)</x:f>
        <x:v>1</x:v>
      </x:c>
      <x:c r="H5" s="102" t="n">
        <x:f>IF(F5=0,"",D5/F5)</x:f>
        <x:v>1</x:v>
      </x:c>
      <x:c r="I5" s="76" t="str">
        <x:v>1 gameplay loop</x:v>
      </x:c>
    </x:row>
    <x:row r="6">
      <x:c r="A6" s="79" t="str">
        <x:v>First furniture</x:v>
      </x:c>
      <x:c r="B6" s="79" t="str">
        <x:v>Faith</x:v>
      </x:c>
      <x:c r="C6" s="89" t="n">
        <x:v>4</x:v>
      </x:c>
      <x:c r="D6" s="89" t="n">
        <x:v>10</x:v>
      </x:c>
      <x:c r="E6" s="89" t="n">
        <x:f>AVERAGE('Recipes'!$L$5:$L$7)</x:f>
        <x:v>3</x:v>
      </x:c>
      <x:c r="F6" s="89" t="n">
        <x:f>AVERAGE('Recipes'!$N$5:$N$7)</x:f>
        <x:v>3.3333333333333335</x:v>
      </x:c>
      <x:c r="G6" s="104" t="n">
        <x:f>IF(E6=0,"",C6/E6)</x:f>
        <x:v>1.3333333333333333</x:v>
      </x:c>
      <x:c r="H6" s="104" t="n">
        <x:f>IF(F6=0,"",D6/F6)</x:f>
        <x:v>3</x:v>
      </x:c>
      <x:c r="I6" s="79" t="str">
        <x:v>3-5 services</x:v>
      </x:c>
    </x:row>
    <x:row r="7">
      <x:c r="A7" s="79" t="str">
        <x:v>Fox altar Lv2</x:v>
      </x:c>
      <x:c r="B7" s="79" t="str">
        <x:v>HeartFox</x:v>
      </x:c>
      <x:c r="C7" s="89" t="n">
        <x:v>3</x:v>
      </x:c>
      <x:c r="D7" s="89" t="n">
        <x:v>3</x:v>
      </x:c>
      <x:c r="E7" s="89" t="n">
        <x:f>'Assumptions'!$B$10</x:f>
        <x:v>0.3333333333333333</x:v>
      </x:c>
      <x:c r="F7" s="89" t="n">
        <x:f>'Assumptions'!$C$10</x:f>
        <x:v>0.3333333333333333</x:v>
      </x:c>
      <x:c r="G7" s="104" t="n">
        <x:f>IF(E7=0,"",C7/E7)</x:f>
        <x:v>9</x:v>
      </x:c>
      <x:c r="H7" s="104" t="n">
        <x:f>IF(F7=0,"",D7/F7)</x:f>
        <x:v>9</x:v>
      </x:c>
      <x:c r="I7" s="79" t="str">
        <x:v>8-10 services</x:v>
      </x:c>
    </x:row>
    <x:row r="8">
      <x:c r="A8" s="79" t="str">
        <x:v>First relationship message</x:v>
      </x:c>
      <x:c r="B8" s="79" t="str">
        <x:v>Affection</x:v>
      </x:c>
      <x:c r="C8" s="89" t="n">
        <x:v>0</x:v>
      </x:c>
      <x:c r="D8" s="89" t="n">
        <x:v>2</x:v>
      </x:c>
      <x:c r="E8" s="89" t="n">
        <x:f>'Assumptions'!$B$10*'Assumptions'!$B$12</x:f>
        <x:v>0.3333333333333333</x:v>
      </x:c>
      <x:c r="F8" s="89" t="n">
        <x:f>'Assumptions'!$C$11+'Assumptions'!$C$10*'Assumptions'!$C$12</x:f>
        <x:v>1.3333333333333333</x:v>
      </x:c>
      <x:c r="G8" s="104" t="n">
        <x:f>IF(E8=0,"",C8/E8)</x:f>
        <x:v>0</x:v>
      </x:c>
      <x:c r="H8" s="104" t="n">
        <x:f>IF(F8=0,"",D8/F8)</x:f>
        <x:v>1.5</x:v>
      </x:c>
      <x:c r="I8" s="79" t="str">
        <x:v>2 visits to that guest</x:v>
      </x:c>
    </x:row>
    <x:row r="9">
      <x:c r="A9" s="79" t="str">
        <x:v>Fourth recipe</x:v>
      </x:c>
      <x:c r="B9" s="79" t="str">
        <x:v>Cafe story</x:v>
      </x:c>
      <x:c r="C9" s="89" t="n">
        <x:v>0</x:v>
      </x:c>
      <x:c r="D9" s="89" t="n">
        <x:v>3</x:v>
      </x:c>
      <x:c r="E9" s="89" t="n">
        <x:v>1</x:v>
      </x:c>
      <x:c r="F9" s="89" t="n">
        <x:v>1</x:v>
      </x:c>
      <x:c r="G9" s="104" t="n">
        <x:f>IF(E9=0,"",C9/E9)</x:f>
        <x:v>0</x:v>
      </x:c>
      <x:c r="H9" s="104" t="n">
        <x:f>IF(F9=0,"",D9/F9)</x:f>
        <x:v>3</x:v>
      </x:c>
      <x:c r="I9" s="79" t="str">
        <x:v>End of first cafe shift</x:v>
      </x:c>
    </x:row>
    <x:row r="10">
      <x:c r="A10" s="79" t="str">
        <x:v>Cafe expansion complete</x:v>
      </x:c>
      <x:c r="B10" s="79" t="str">
        <x:v>Recipes</x:v>
      </x:c>
      <x:c r="C10" s="89" t="n">
        <x:v>3</x:v>
      </x:c>
      <x:c r="D10" s="89" t="n">
        <x:v>6</x:v>
      </x:c>
      <x:c r="E10" s="89" t="n">
        <x:v>1</x:v>
      </x:c>
      <x:c r="F10" s="89" t="n">
        <x:v>1</x:v>
      </x:c>
      <x:c r="G10" s="104" t="n">
        <x:f>IF(E10=0,"",C10/E10)</x:f>
        <x:v>3</x:v>
      </x:c>
      <x:c r="H10" s="104" t="n">
        <x:f>IF(F10=0,"",D10/F10)</x:f>
        <x:v>6</x:v>
      </x:c>
      <x:c r="I10" s="79" t="str">
        <x:v>Before Red Oni resolution</x:v>
      </x:c>
    </x:row>
    <x:row r="11">
      <x:c r="A11" s="82" t="str">
        <x:v>Demo menu complete</x:v>
      </x:c>
      <x:c r="B11" s="82" t="str">
        <x:v>Recipes</x:v>
      </x:c>
      <x:c r="C11" s="91" t="n">
        <x:v>3</x:v>
      </x:c>
      <x:c r="D11" s="91" t="n">
        <x:v>9</x:v>
      </x:c>
      <x:c r="E11" s="91" t="n">
        <x:v>1</x:v>
      </x:c>
      <x:c r="F11" s="91" t="n">
        <x:v>1</x:v>
      </x:c>
      <x:c r="G11" s="106" t="n">
        <x:f>IF(E11=0,"",C11/E11)</x:f>
        <x:v>3</x:v>
      </x:c>
      <x:c r="H11" s="106" t="n">
        <x:f>IF(F11=0,"",D11/F11)</x:f>
        <x:v>9</x:v>
      </x:c>
      <x:c r="I11" s="82" t="str">
        <x:v>By demo finale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8" hidden="0" customWidth="1"/>
    <x:col min="3" max="3" width="50" hidden="0" customWidth="1"/>
  </x:cols>
  <x:sheetData>
    <x:row r="1" ht="32" customHeight="1">
      <x:c r="A1" s="74" t="str">
        <x:v>Sources And Decision Boundaries</x:v>
      </x:c>
      <x:c r="B1" s="74"/>
      <x:c r="C1" s="74"/>
    </x:row>
    <x:row r="2" ht="28" customHeight="1">
      <x:c r="A2" s="8" t="str">
        <x:v>The workbook combines verified project values with explicit V1 design hypotheses. No external service is required for implementation.</x:v>
      </x:c>
      <x:c r="B2" s="8"/>
      <x:c r="C2" s="8"/>
    </x:row>
    <x:row r="3">
      <x:c r="A3" s="75"/>
      <x:c r="B3" s="75"/>
      <x:c r="C3" s="75"/>
    </x:row>
    <x:row r="4" ht="30" customHeight="1">
      <x:c r="A4" s="19" t="str">
        <x:v>Source</x:v>
      </x:c>
      <x:c r="B4" s="20" t="str">
        <x:v>URL / File</x:v>
      </x:c>
      <x:c r="C4" s="21" t="str">
        <x:v>Use</x:v>
      </x:c>
    </x:row>
    <x:row r="5">
      <x:c r="A5" s="76" t="str">
        <x:v>Project crop formula</x:v>
      </x:c>
      <x:c r="B5" s="76" t="str">
        <x:v>Assets/Scripts/Shop/FarmEconomyFormula.cs</x:v>
      </x:c>
      <x:c r="C5" s="76" t="str">
        <x:v>Current seed price and real-time growth formula</x:v>
      </x:c>
    </x:row>
    <x:row r="6">
      <x:c r="A6" s="79" t="str">
        <x:v>Project cafe formula</x:v>
      </x:c>
      <x:c r="B6" s="79" t="str">
        <x:v>Assets/Scripts/Shop/CafeEconomyFormula.cs</x:v>
      </x:c>
      <x:c r="C6" s="79" t="str">
        <x:v>Current ingredient values, markup, and profit floor</x:v>
      </x:c>
    </x:row>
    <x:row r="7">
      <x:c r="A7" s="79" t="str">
        <x:v>Project cafe content</x:v>
      </x:c>
      <x:c r="B7" s="79" t="str">
        <x:v>Assets/Scripts/Shop/CafeOperationController.cs</x:v>
      </x:c>
      <x:c r="C7" s="79" t="str">
        <x:v>Current recipes, visitors, messages, affection behavior</x:v>
      </x:c>
    </x:row>
    <x:row r="8">
      <x:c r="A8" s="79" t="str">
        <x:v>Project furniture</x:v>
      </x:c>
      <x:c r="B8" s="79" t="str">
        <x:v>Assets/Scripts/Core/CafeSceneController.cs</x:v>
      </x:c>
      <x:c r="C8" s="79" t="str">
        <x:v>Current costs, altar levels, and unlock modes</x:v>
      </x:c>
    </x:row>
    <x:row r="9">
      <x:c r="A9" s="82" t="str">
        <x:v>Unity ScriptableObject</x:v>
      </x:c>
      <x:c r="B9" s="82" t="str">
        <x:v>https://docs.unity3d.com/6000.1/Documentation/Manual/class-ScriptableObject.html</x:v>
      </x:c>
      <x:c r="C9" s="82" t="str">
        <x:v>Future data-driven configuration</x:v>
      </x:c>
    </x:row>
    <x:row r="10">
      <x:c r="A10" s="75" t="str">
        <x:v>Unity Funnels</x:v>
      </x:c>
      <x:c r="B10" s="75" t="str">
        <x:v>https://docs.unity.com/en-us/analytics/funnels/funnels</x:v>
      </x:c>
      <x:c r="C10" s="75" t="str">
        <x:v>Validate milestone completion and elapsed-time assumptions</x:v>
      </x:c>
    </x:row>
  </x:sheetData>
  <x:mergeCells>
    <x:mergeCell ref="A1:C1"/>
    <x:mergeCell ref="A2:C2"/>
  </x:mergeCells>
  <x:pageMargins left="0.7" right="0.7" top="0.75" bottom="0.75" header="0.3" footer="0.3"/>
</x:worksheet>
</file>